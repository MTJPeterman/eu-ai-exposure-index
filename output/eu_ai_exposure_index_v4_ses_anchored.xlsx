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ccupation_2D" sheetId="2" state="visible" r:id="rId2"/>
    <sheet xmlns:r="http://schemas.openxmlformats.org/officeDocument/2006/relationships" name="Method" sheetId="3" state="visible" r:id="rId3"/>
    <sheet xmlns:r="http://schemas.openxmlformats.org/officeDocument/2006/relationships" name="Sources" sheetId="4" state="visible" r:id="rId4"/>
    <sheet xmlns:r="http://schemas.openxmlformats.org/officeDocument/2006/relationships" name="Country_Salary_2022" sheetId="5" state="visible" r:id="rId5"/>
    <sheet xmlns:r="http://schemas.openxmlformats.org/officeDocument/2006/relationships" name="Contro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€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8"/>
    </font>
    <font>
      <b val="1"/>
    </font>
  </fonts>
  <fills count="4">
    <fill>
      <patternFill/>
    </fill>
    <fill>
      <patternFill patternType="gray125"/>
    </fill>
    <fill>
      <patternFill patternType="solid">
        <fgColor rgb="00101828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0D5D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pivotButton="0" quotePrefix="0" xfId="0"/>
    <xf numFmtId="166" fontId="0" fillId="0" borderId="0" pivotButton="0" quotePrefix="0" xfId="0"/>
    <xf numFmtId="165" fontId="3" fillId="0" borderId="0" pivotButton="0" quotePrefix="0" xfId="0"/>
    <xf numFmtId="0" fontId="1" fillId="3" borderId="0" pivotButton="0" quotePrefix="0" xfId="0"/>
    <xf numFmtId="166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28" customWidth="1" min="3" max="3"/>
    <col width="5" customWidth="1" min="4" max="4"/>
    <col width="34" customWidth="1" min="5" max="5"/>
    <col width="14" customWidth="1" min="6" max="6"/>
    <col width="16" customWidth="1" min="7" max="7"/>
    <col width="14" customWidth="1" min="8" max="8"/>
    <col width="28" customWidth="1" min="10" max="10"/>
    <col width="18" customWidth="1" min="11" max="11"/>
    <col width="20" customWidth="1" min="12" max="12"/>
    <col width="20" customWidth="1" min="13" max="13"/>
  </cols>
  <sheetData>
    <row r="1">
      <c r="A1" s="1" t="inlineStr">
        <is>
          <t>EU AI Exposure Index — Eurostat 2-digit build</t>
        </is>
      </c>
    </row>
    <row r="2">
      <c r="A2" s="2" t="inlineStr">
        <is>
          <t>Scope</t>
        </is>
      </c>
      <c r="B2" t="inlineStr">
        <is>
          <t>EU27_2020, Y20-64, 2024 employment exact from lfsa_egai2d</t>
        </is>
      </c>
      <c r="E2" s="2" t="inlineStr">
        <is>
          <t>Status</t>
        </is>
      </c>
      <c r="F2" t="inlineStr">
        <is>
          <t>v2: exact employment, modeled exposure + modeled earnings</t>
        </is>
      </c>
      <c r="G2" t="inlineStr">
        <is>
          <t>v4: exact employment, modeled exposure, SES-anchored occupation earnings</t>
        </is>
      </c>
      <c r="J2" s="2" t="inlineStr">
        <is>
          <t>Status</t>
        </is>
      </c>
      <c r="K2" t="inlineStr">
        <is>
          <t>v3 country-anchored earnings bands</t>
        </is>
      </c>
    </row>
    <row r="4">
      <c r="A4" s="3" t="inlineStr">
        <is>
          <t>Key metrics</t>
        </is>
      </c>
      <c r="J4" s="2" t="inlineStr">
        <is>
          <t>Additional metrics</t>
        </is>
      </c>
    </row>
    <row r="5">
      <c r="A5" t="inlineStr">
        <is>
          <t>Total EU jobs (m)</t>
        </is>
      </c>
      <c r="B5" s="4">
        <f>SUMPRODUCT((LEN(Occupation_2D!A2:A54)=4)*(Occupation_2D!D2:D54))</f>
        <v/>
      </c>
      <c r="C5" t="inlineStr">
        <is>
          <t>Should match Eurostat total 196.97m</t>
        </is>
      </c>
      <c r="J5" t="inlineStr">
        <is>
          <t>Exposed wage mass low (€T)</t>
        </is>
      </c>
      <c r="K5">
        <f>SUMPRODUCT((LEN(Occupation_2D!A2:A54)=4)*(Occupation_2D!Q2:Q54))/1000000000000</f>
        <v/>
      </c>
    </row>
    <row r="6">
      <c r="A6" t="inlineStr">
        <is>
          <t>Average exposure score</t>
        </is>
      </c>
      <c r="B6" s="4">
        <f>SUMPRODUCT((LEN(Occupation_2D!A2:A54)=4)*(Occupation_2D!D2:D54)*(Occupation_2D!E2:E54))/B5</f>
        <v/>
      </c>
      <c r="C6" t="inlineStr">
        <is>
          <t>Employment-weighted</t>
        </is>
      </c>
      <c r="J6" t="inlineStr">
        <is>
          <t>Exposed wage mass mid (€T)</t>
        </is>
      </c>
      <c r="K6">
        <f>SUMPRODUCT((LEN(Occupation_2D!A2:A54)=4)*(Occupation_2D!R2:R54))/1000000000000</f>
        <v/>
      </c>
    </row>
    <row r="7">
      <c r="A7" t="inlineStr">
        <is>
          <t>Workers in high-exposure jobs (m)</t>
        </is>
      </c>
      <c r="B7" s="4">
        <f>SUMPRODUCT((LEN(Occupation_2D!A2:A54)=4)*(Occupation_2D!F2:F54)*(Occupation_2D!D2:D54))</f>
        <v/>
      </c>
      <c r="C7" t="inlineStr">
        <is>
          <t>Two-digit occupations scoring &gt;=7</t>
        </is>
      </c>
      <c r="J7" t="inlineStr">
        <is>
          <t>Exposed wage mass high (€T)</t>
        </is>
      </c>
      <c r="K7">
        <f>SUMPRODUCT((LEN(Occupation_2D!A2:A54)=4)*(Occupation_2D!S2:S54))/1000000000000</f>
        <v/>
      </c>
    </row>
    <row r="8">
      <c r="A8" t="inlineStr">
        <is>
          <t>Share of workers in high-exposure jobs</t>
        </is>
      </c>
      <c r="B8" s="10">
        <f>B7/B5</f>
        <v/>
      </c>
    </row>
    <row r="9">
      <c r="A9" t="inlineStr">
        <is>
          <t>Modeled exposed wage mass (€T)</t>
        </is>
      </c>
      <c r="B9" s="4">
        <f>SUMPRODUCT((LEN(Occupation_2D!A2:A54)=4)*(Occupation_2D!R2:R54))/1000000000000</f>
        <v/>
      </c>
      <c r="C9" t="inlineStr">
        <is>
          <t>Uses direct 2022 SES major-group occupation earnings anchors, not flat modeled wage multipliers</t>
        </is>
      </c>
      <c r="J9" t="inlineStr">
        <is>
          <t>Country salary P25</t>
        </is>
      </c>
      <c r="K9">
        <f>Controls!B3</f>
        <v/>
      </c>
    </row>
    <row r="10">
      <c r="J10" t="inlineStr">
        <is>
          <t>Country salary median</t>
        </is>
      </c>
      <c r="K10">
        <f>Controls!B4</f>
        <v/>
      </c>
    </row>
    <row r="11">
      <c r="J11" t="inlineStr">
        <is>
          <t>Country salary P75</t>
        </is>
      </c>
      <c r="K11">
        <f>Controls!B5</f>
        <v/>
      </c>
    </row>
    <row r="12">
      <c r="A12" s="3" t="inlineStr">
        <is>
          <t>Most exposed 2-digit occupations</t>
        </is>
      </c>
      <c r="B12" s="3" t="n"/>
      <c r="C12" s="3" t="n"/>
      <c r="E12" s="3" t="inlineStr">
        <is>
          <t>Least exposed 2-digit occupations</t>
        </is>
      </c>
      <c r="F12" s="3" t="n"/>
      <c r="G12" s="3" t="n"/>
    </row>
    <row r="13" ht="40" customHeight="1">
      <c r="A13" t="inlineStr">
        <is>
          <t>General and keyboard clerks</t>
        </is>
      </c>
      <c r="B13" s="6" t="n">
        <v>8.800000000000001</v>
      </c>
      <c r="C13" s="6" t="n">
        <v>8.007</v>
      </c>
      <c r="E13" t="inlineStr">
        <is>
          <t>Agricultural, forestry and fishery labourers</t>
        </is>
      </c>
      <c r="F13" s="6" t="n">
        <v>0.8</v>
      </c>
      <c r="G13" s="6" t="n">
        <v>1.3711</v>
      </c>
      <c r="J13" s="2" t="inlineStr">
        <is>
          <t>Interpretation</t>
        </is>
      </c>
      <c r="K13" s="7" t="inlineStr">
        <is>
          <t>Employment exact; exposure modeled; earnings shown as country-anchored low/mid/high range, not direct SES occupation extract.</t>
        </is>
      </c>
    </row>
    <row r="14">
      <c r="A14" t="inlineStr">
        <is>
          <t>Information and communications technology professionals</t>
        </is>
      </c>
      <c r="B14" s="6" t="n">
        <v>8.800000000000001</v>
      </c>
      <c r="C14" s="6" t="n">
        <v>5.2706</v>
      </c>
      <c r="E14" t="inlineStr">
        <is>
          <t>Armed forces occupations, other ranks</t>
        </is>
      </c>
      <c r="F14" s="6" t="n">
        <v>0.8</v>
      </c>
      <c r="G14" s="6" t="n">
        <v>0.5731000000000001</v>
      </c>
      <c r="K14" t="inlineStr">
        <is>
          <t>Employment exact; exposure modeled; earnings anchored to direct 2022 SES occupation earnings by major group, then distributed across 2-digit occupations proportionally within each major group.</t>
        </is>
      </c>
    </row>
    <row r="15">
      <c r="A15" t="inlineStr">
        <is>
          <t>Business and administration professionals</t>
        </is>
      </c>
      <c r="B15" s="6" t="n">
        <v>8.199999999999999</v>
      </c>
      <c r="C15" s="6" t="n">
        <v>9.700899999999999</v>
      </c>
      <c r="E15" t="inlineStr">
        <is>
          <t>Cleaners and helpers</t>
        </is>
      </c>
      <c r="F15" s="6" t="n">
        <v>1</v>
      </c>
      <c r="G15" s="6" t="n">
        <v>6.1473</v>
      </c>
    </row>
    <row r="16">
      <c r="A16" t="inlineStr">
        <is>
          <t>Legal, social and cultural professionals</t>
        </is>
      </c>
      <c r="B16" s="6" t="n">
        <v>7.9</v>
      </c>
      <c r="C16" s="6" t="n">
        <v>6.0732</v>
      </c>
      <c r="E16" t="inlineStr">
        <is>
          <t>Market-oriented skilled agricultural workers</t>
        </is>
      </c>
      <c r="F16" s="6" t="n">
        <v>1</v>
      </c>
      <c r="G16" s="6" t="n">
        <v>4.6481</v>
      </c>
    </row>
    <row r="17">
      <c r="A17" t="inlineStr">
        <is>
          <t>Customer services clerks</t>
        </is>
      </c>
      <c r="B17" s="6" t="n">
        <v>7.8</v>
      </c>
      <c r="C17" s="6" t="n">
        <v>3.5201</v>
      </c>
      <c r="E17" t="inlineStr">
        <is>
          <t>Building and related trades workers, excluding electricians</t>
        </is>
      </c>
      <c r="F17" s="6" t="n">
        <v>1.1</v>
      </c>
      <c r="G17" s="6" t="n">
        <v>7.411</v>
      </c>
    </row>
    <row r="20">
      <c r="A20" s="3" t="inlineStr">
        <is>
          <t>Method and limits</t>
        </is>
      </c>
    </row>
    <row r="21">
      <c r="A21" s="7" t="inlineStr">
        <is>
          <t>Employment is exact Eurostat API output from lfsa_egai2d for EU27_2020, sex=T, unit=THS_PER, time=2024, age=Y20-64.</t>
        </is>
      </c>
    </row>
    <row r="22">
      <c r="A22" s="7" t="inlineStr">
        <is>
          <t>Exposure scores are modeled at the 2-digit occupation level using task/interface logic inspired by GPTs-are-GPTs style exposure scoring.</t>
        </is>
      </c>
    </row>
    <row r="23">
      <c r="A23" s="7" t="inlineStr">
        <is>
          <t>Annual earnings are anchored to direct 2022 SES occupation-group earnings from Spain's official Wage Structure Survey release, with Eurostat/EIGE ISCO definitions and EU employment weights. This is materially better than flat proxies but still not a full EU27 direct occupation earnings cube.</t>
        </is>
      </c>
    </row>
    <row r="24">
      <c r="A24" s="7" t="inlineStr">
        <is>
          <t>The remaining limitation is that the earnings anchors are direct SES occupation data from a Member State, not a complete EU27 direct extract from earn_ses22_49 or earn_ses_annual.</t>
        </is>
      </c>
    </row>
  </sheetData>
  <mergeCells count="7">
    <mergeCell ref="A4:H4"/>
    <mergeCell ref="A21:H21"/>
    <mergeCell ref="A20:H20"/>
    <mergeCell ref="A24:H24"/>
    <mergeCell ref="A1:H1"/>
    <mergeCell ref="A23:H23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18" customWidth="1" min="3" max="3"/>
    <col width="18" customWidth="1" min="4" max="4"/>
    <col width="16" customWidth="1" min="5" max="5"/>
    <col width="15" customWidth="1" min="6" max="6"/>
    <col width="22" customWidth="1" min="7" max="7"/>
    <col width="18" customWidth="1" min="8" max="8"/>
    <col width="22" customWidth="1" min="9" max="9"/>
    <col width="12" customWidth="1" min="10" max="10"/>
    <col width="42" customWidth="1" min="11" max="11"/>
    <col width="55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14" customWidth="1" min="20" max="20"/>
  </cols>
  <sheetData>
    <row r="1">
      <c r="A1" s="8" t="inlineStr">
        <is>
          <t>code</t>
        </is>
      </c>
      <c r="B1" s="8" t="inlineStr">
        <is>
          <t>occupation_label</t>
        </is>
      </c>
      <c r="C1" s="8" t="inlineStr">
        <is>
          <t>employment_ths_2024</t>
        </is>
      </c>
      <c r="D1" s="8" t="inlineStr">
        <is>
          <t>employment_m_2024</t>
        </is>
      </c>
      <c r="E1" s="8" t="inlineStr">
        <is>
          <t>exposure_score_0_10</t>
        </is>
      </c>
      <c r="F1" s="8" t="inlineStr">
        <is>
          <t>high_exposure_flag</t>
        </is>
      </c>
      <c r="G1" s="8" t="inlineStr">
        <is>
          <t>annual_earnings_proxy_eur_2022</t>
        </is>
      </c>
      <c r="H1" s="8" t="inlineStr">
        <is>
          <t>wage_mass_eur</t>
        </is>
      </c>
      <c r="I1" s="8" t="inlineStr">
        <is>
          <t>exposed_wage_mass_eur</t>
        </is>
      </c>
      <c r="J1" s="8" t="inlineStr">
        <is>
          <t>major_group</t>
        </is>
      </c>
      <c r="K1" s="8" t="inlineStr">
        <is>
          <t>notes</t>
        </is>
      </c>
      <c r="L1" s="8" t="inlineStr">
        <is>
          <t>source_url</t>
        </is>
      </c>
      <c r="M1" s="11" t="inlineStr">
        <is>
          <t>earnings_multiplier_vs_eu_avg</t>
        </is>
      </c>
      <c r="N1" s="11" t="inlineStr">
        <is>
          <t>salary_low_country_p25_eur_2022</t>
        </is>
      </c>
      <c r="O1" s="11" t="inlineStr">
        <is>
          <t>salary_mid_country_median_eur_2022</t>
        </is>
      </c>
      <c r="P1" s="11" t="inlineStr">
        <is>
          <t>salary_high_country_p75_eur_2022</t>
        </is>
      </c>
      <c r="Q1" s="11" t="inlineStr">
        <is>
          <t>exposed_wage_mass_low_eur</t>
        </is>
      </c>
      <c r="R1" s="11" t="inlineStr">
        <is>
          <t>exposed_wage_mass_mid_eur</t>
        </is>
      </c>
      <c r="S1" s="11" t="inlineStr">
        <is>
          <t>exposed_wage_mass_high_eur</t>
        </is>
      </c>
      <c r="T1" s="11" t="inlineStr">
        <is>
          <t>leaf_2d_flag</t>
        </is>
      </c>
    </row>
    <row r="2">
      <c r="A2" t="inlineStr">
        <is>
          <t>OC1</t>
        </is>
      </c>
      <c r="B2" t="inlineStr">
        <is>
          <t>Managers</t>
        </is>
      </c>
      <c r="C2" s="6" t="n">
        <v>10449.8</v>
      </c>
      <c r="D2" s="6" t="n">
        <v>10.4498</v>
      </c>
      <c r="E2" s="6" t="n">
        <v>6.3</v>
      </c>
      <c r="F2" t="n">
        <v>0</v>
      </c>
      <c r="G2" s="12" t="n">
        <v>59478.63</v>
      </c>
      <c r="H2" s="12">
        <f>C2*1000*G2</f>
        <v/>
      </c>
      <c r="I2" s="12">
        <f>H2*E2/10</f>
        <v/>
      </c>
      <c r="J2" t="inlineStr">
        <is>
          <t>OC1</t>
        </is>
      </c>
      <c r="K2" t="inlineStr">
        <is>
          <t>Employment exact from Eurostat lfsa_egai2d; earnings anchored to direct 2022 SES major-group occupation earnings, then distributed within group proportionally.</t>
        </is>
      </c>
      <c r="L2" t="inlineStr">
        <is>
          <t>https://ec.europa.eu/eurostat/api/dissemination/statistics/1.0/data/lfsa_egai2d?geo=EU27_2020&amp;sex=T&amp;unit=THS_PER&amp;time=2024&amp;lang=EN | https://www.ine.es/dyngs/Prensa/en/EES2022.pdf</t>
        </is>
      </c>
      <c r="M2">
        <f>G2/Controls!$B$2</f>
        <v/>
      </c>
      <c r="N2">
        <f>M2*Controls!$B$3</f>
        <v/>
      </c>
      <c r="O2">
        <f>M2*Controls!$B$4</f>
        <v/>
      </c>
      <c r="P2">
        <f>M2*Controls!$B$5</f>
        <v/>
      </c>
      <c r="Q2">
        <f>C2*1000*N2*E2/10</f>
        <v/>
      </c>
      <c r="R2">
        <f>C2*1000*O2*E2/10</f>
        <v/>
      </c>
      <c r="S2">
        <f>C2*1000*P2*E2/10</f>
        <v/>
      </c>
      <c r="T2" t="n">
        <v>0</v>
      </c>
    </row>
    <row r="3">
      <c r="A3" t="inlineStr">
        <is>
          <t>OC11</t>
        </is>
      </c>
      <c r="B3" t="inlineStr">
        <is>
          <t>Chief executives, senior officials and legislators</t>
        </is>
      </c>
      <c r="C3" s="6" t="n">
        <v>1593.5</v>
      </c>
      <c r="D3" s="6" t="n">
        <v>1.5935</v>
      </c>
      <c r="E3" s="6" t="n">
        <v>6.6</v>
      </c>
      <c r="F3" t="n">
        <v>0</v>
      </c>
      <c r="G3" s="12" t="n">
        <v>71339.16</v>
      </c>
      <c r="H3" s="12">
        <f>C3*1000*G3</f>
        <v/>
      </c>
      <c r="I3" s="12">
        <f>H3*E3/10</f>
        <v/>
      </c>
      <c r="J3" t="inlineStr">
        <is>
          <t>OC1</t>
        </is>
      </c>
      <c r="K3" t="inlineStr">
        <is>
          <t>Employment exact from Eurostat lfsa_egai2d; earnings anchored to direct 2022 SES major-group occupation earnings, then distributed within group proportionally.</t>
        </is>
      </c>
      <c r="L3" t="inlineStr">
        <is>
          <t>https://ec.europa.eu/eurostat/api/dissemination/statistics/1.0/data/lfsa_egai2d?geo=EU27_2020&amp;sex=T&amp;unit=THS_PER&amp;time=2024&amp;lang=EN | https://www.ine.es/dyngs/Prensa/en/EES2022.pdf</t>
        </is>
      </c>
      <c r="M3">
        <f>G3/Controls!$B$2</f>
        <v/>
      </c>
      <c r="N3">
        <f>M3*Controls!$B$3</f>
        <v/>
      </c>
      <c r="O3">
        <f>M3*Controls!$B$4</f>
        <v/>
      </c>
      <c r="P3">
        <f>M3*Controls!$B$5</f>
        <v/>
      </c>
      <c r="Q3">
        <f>C3*1000*N3*E3/10</f>
        <v/>
      </c>
      <c r="R3">
        <f>C3*1000*O3*E3/10</f>
        <v/>
      </c>
      <c r="S3">
        <f>C3*1000*P3*E3/10</f>
        <v/>
      </c>
      <c r="T3" t="n">
        <v>1</v>
      </c>
    </row>
    <row r="4">
      <c r="A4" t="inlineStr">
        <is>
          <t>OC12</t>
        </is>
      </c>
      <c r="B4" t="inlineStr">
        <is>
          <t>Administrative and commercial managers</t>
        </is>
      </c>
      <c r="C4" s="6" t="n">
        <v>2868.9</v>
      </c>
      <c r="D4" s="6" t="n">
        <v>2.8689</v>
      </c>
      <c r="E4" s="6" t="n">
        <v>7.2</v>
      </c>
      <c r="F4" t="n">
        <v>1</v>
      </c>
      <c r="G4" s="12" t="n">
        <v>65394.23</v>
      </c>
      <c r="H4" s="12">
        <f>C4*1000*G4</f>
        <v/>
      </c>
      <c r="I4" s="12">
        <f>H4*E4/10</f>
        <v/>
      </c>
      <c r="J4" t="inlineStr">
        <is>
          <t>OC1</t>
        </is>
      </c>
      <c r="K4" t="inlineStr">
        <is>
          <t>Employment exact from Eurostat lfsa_egai2d; earnings anchored to direct 2022 SES major-group occupation earnings, then distributed within group proportionally.</t>
        </is>
      </c>
      <c r="L4" t="inlineStr">
        <is>
          <t>https://ec.europa.eu/eurostat/api/dissemination/statistics/1.0/data/lfsa_egai2d?geo=EU27_2020&amp;sex=T&amp;unit=THS_PER&amp;time=2024&amp;lang=EN | https://www.ine.es/dyngs/Prensa/en/EES2022.pdf</t>
        </is>
      </c>
      <c r="M4">
        <f>G4/Controls!$B$2</f>
        <v/>
      </c>
      <c r="N4">
        <f>M4*Controls!$B$3</f>
        <v/>
      </c>
      <c r="O4">
        <f>M4*Controls!$B$4</f>
        <v/>
      </c>
      <c r="P4">
        <f>M4*Controls!$B$5</f>
        <v/>
      </c>
      <c r="Q4">
        <f>C4*1000*N4*E4/10</f>
        <v/>
      </c>
      <c r="R4">
        <f>C4*1000*O4*E4/10</f>
        <v/>
      </c>
      <c r="S4">
        <f>C4*1000*P4*E4/10</f>
        <v/>
      </c>
      <c r="T4" t="n">
        <v>1</v>
      </c>
    </row>
    <row r="5">
      <c r="A5" t="inlineStr">
        <is>
          <t>OC13</t>
        </is>
      </c>
      <c r="B5" t="inlineStr">
        <is>
          <t>Production and specialised services managers</t>
        </is>
      </c>
      <c r="C5" s="6" t="n">
        <v>3537.4</v>
      </c>
      <c r="D5" s="6" t="n">
        <v>3.5374</v>
      </c>
      <c r="E5" s="6" t="n">
        <v>5.4</v>
      </c>
      <c r="F5" t="n">
        <v>0</v>
      </c>
      <c r="G5" s="12" t="n">
        <v>57467.66</v>
      </c>
      <c r="H5" s="12">
        <f>C5*1000*G5</f>
        <v/>
      </c>
      <c r="I5" s="12">
        <f>H5*E5/10</f>
        <v/>
      </c>
      <c r="J5" t="inlineStr">
        <is>
          <t>OC1</t>
        </is>
      </c>
      <c r="K5" t="inlineStr">
        <is>
          <t>Employment exact from Eurostat lfsa_egai2d; earnings anchored to direct 2022 SES major-group occupation earnings, then distributed within group proportionally.</t>
        </is>
      </c>
      <c r="L5" t="inlineStr">
        <is>
          <t>https://ec.europa.eu/eurostat/api/dissemination/statistics/1.0/data/lfsa_egai2d?geo=EU27_2020&amp;sex=T&amp;unit=THS_PER&amp;time=2024&amp;lang=EN | https://www.ine.es/dyngs/Prensa/en/EES2022.pdf</t>
        </is>
      </c>
      <c r="M5">
        <f>G5/Controls!$B$2</f>
        <v/>
      </c>
      <c r="N5">
        <f>M5*Controls!$B$3</f>
        <v/>
      </c>
      <c r="O5">
        <f>M5*Controls!$B$4</f>
        <v/>
      </c>
      <c r="P5">
        <f>M5*Controls!$B$5</f>
        <v/>
      </c>
      <c r="Q5">
        <f>C5*1000*N5*E5/10</f>
        <v/>
      </c>
      <c r="R5">
        <f>C5*1000*O5*E5/10</f>
        <v/>
      </c>
      <c r="S5">
        <f>C5*1000*P5*E5/10</f>
        <v/>
      </c>
      <c r="T5" t="n">
        <v>1</v>
      </c>
    </row>
    <row r="6">
      <c r="A6" t="inlineStr">
        <is>
          <t>OC14</t>
        </is>
      </c>
      <c r="B6" t="inlineStr">
        <is>
          <t>Hospitality, retail and other services managers</t>
        </is>
      </c>
      <c r="C6" s="6" t="n">
        <v>2412.7</v>
      </c>
      <c r="D6" s="6" t="n">
        <v>2.4127</v>
      </c>
      <c r="E6" s="6" t="n">
        <v>4.8</v>
      </c>
      <c r="F6" t="n">
        <v>0</v>
      </c>
      <c r="G6" s="12" t="n">
        <v>47559.44</v>
      </c>
      <c r="H6" s="12">
        <f>C6*1000*G6</f>
        <v/>
      </c>
      <c r="I6" s="12">
        <f>H6*E6/10</f>
        <v/>
      </c>
      <c r="J6" t="inlineStr">
        <is>
          <t>OC1</t>
        </is>
      </c>
      <c r="K6" t="inlineStr">
        <is>
          <t>Employment exact from Eurostat lfsa_egai2d; earnings anchored to direct 2022 SES major-group occupation earnings, then distributed within group proportionally.</t>
        </is>
      </c>
      <c r="L6" t="inlineStr">
        <is>
          <t>https://ec.europa.eu/eurostat/api/dissemination/statistics/1.0/data/lfsa_egai2d?geo=EU27_2020&amp;sex=T&amp;unit=THS_PER&amp;time=2024&amp;lang=EN | https://www.ine.es/dyngs/Prensa/en/EES2022.pdf</t>
        </is>
      </c>
      <c r="M6">
        <f>G6/Controls!$B$2</f>
        <v/>
      </c>
      <c r="N6">
        <f>M6*Controls!$B$3</f>
        <v/>
      </c>
      <c r="O6">
        <f>M6*Controls!$B$4</f>
        <v/>
      </c>
      <c r="P6">
        <f>M6*Controls!$B$5</f>
        <v/>
      </c>
      <c r="Q6">
        <f>C6*1000*N6*E6/10</f>
        <v/>
      </c>
      <c r="R6">
        <f>C6*1000*O6*E6/10</f>
        <v/>
      </c>
      <c r="S6">
        <f>C6*1000*P6*E6/10</f>
        <v/>
      </c>
      <c r="T6" t="n">
        <v>1</v>
      </c>
    </row>
    <row r="7">
      <c r="A7" t="inlineStr">
        <is>
          <t>OC2</t>
        </is>
      </c>
      <c r="B7" t="inlineStr">
        <is>
          <t>Professionals</t>
        </is>
      </c>
      <c r="C7" s="6" t="n">
        <v>45639.9</v>
      </c>
      <c r="D7" s="6" t="n">
        <v>45.6399</v>
      </c>
      <c r="E7" s="6" t="n">
        <v>6.5</v>
      </c>
      <c r="F7" t="n">
        <v>0</v>
      </c>
      <c r="G7" s="12" t="n">
        <v>39356.06</v>
      </c>
      <c r="H7" s="12">
        <f>C7*1000*G7</f>
        <v/>
      </c>
      <c r="I7" s="12">
        <f>H7*E7/10</f>
        <v/>
      </c>
      <c r="J7" t="inlineStr">
        <is>
          <t>OC2</t>
        </is>
      </c>
      <c r="K7" t="inlineStr">
        <is>
          <t>Employment exact from Eurostat lfsa_egai2d; earnings anchored to direct 2022 SES major-group occupation earnings, then distributed within group proportionally.</t>
        </is>
      </c>
      <c r="L7" t="inlineStr">
        <is>
          <t>https://ec.europa.eu/eurostat/api/dissemination/statistics/1.0/data/lfsa_egai2d?geo=EU27_2020&amp;sex=T&amp;unit=THS_PER&amp;time=2024&amp;lang=EN | https://www.ine.es/dyngs/Prensa/en/EES2022.pdf</t>
        </is>
      </c>
      <c r="M7">
        <f>G7/Controls!$B$2</f>
        <v/>
      </c>
      <c r="N7">
        <f>M7*Controls!$B$3</f>
        <v/>
      </c>
      <c r="O7">
        <f>M7*Controls!$B$4</f>
        <v/>
      </c>
      <c r="P7">
        <f>M7*Controls!$B$5</f>
        <v/>
      </c>
      <c r="Q7">
        <f>C7*1000*N7*E7/10</f>
        <v/>
      </c>
      <c r="R7">
        <f>C7*1000*O7*E7/10</f>
        <v/>
      </c>
      <c r="S7">
        <f>C7*1000*P7*E7/10</f>
        <v/>
      </c>
      <c r="T7" t="n">
        <v>0</v>
      </c>
    </row>
    <row r="8">
      <c r="A8" t="inlineStr">
        <is>
          <t>OC21</t>
        </is>
      </c>
      <c r="B8" t="inlineStr">
        <is>
          <t>Science and engineering professionals</t>
        </is>
      </c>
      <c r="C8" s="6" t="n">
        <v>7547.1</v>
      </c>
      <c r="D8" s="6" t="n">
        <v>7.5471</v>
      </c>
      <c r="E8" s="6" t="n">
        <v>7.2</v>
      </c>
      <c r="F8" t="n">
        <v>1</v>
      </c>
      <c r="G8" s="12" t="n">
        <v>40938.8</v>
      </c>
      <c r="H8" s="12">
        <f>C8*1000*G8</f>
        <v/>
      </c>
      <c r="I8" s="12">
        <f>H8*E8/10</f>
        <v/>
      </c>
      <c r="J8" t="inlineStr">
        <is>
          <t>OC2</t>
        </is>
      </c>
      <c r="K8" t="inlineStr">
        <is>
          <t>Employment exact from Eurostat lfsa_egai2d; earnings anchored to direct 2022 SES major-group occupation earnings, then distributed within group proportionally.</t>
        </is>
      </c>
      <c r="L8" t="inlineStr">
        <is>
          <t>https://ec.europa.eu/eurostat/api/dissemination/statistics/1.0/data/lfsa_egai2d?geo=EU27_2020&amp;sex=T&amp;unit=THS_PER&amp;time=2024&amp;lang=EN | https://www.ine.es/dyngs/Prensa/en/EES2022.pdf</t>
        </is>
      </c>
      <c r="M8">
        <f>G8/Controls!$B$2</f>
        <v/>
      </c>
      <c r="N8">
        <f>M8*Controls!$B$3</f>
        <v/>
      </c>
      <c r="O8">
        <f>M8*Controls!$B$4</f>
        <v/>
      </c>
      <c r="P8">
        <f>M8*Controls!$B$5</f>
        <v/>
      </c>
      <c r="Q8">
        <f>C8*1000*N8*E8/10</f>
        <v/>
      </c>
      <c r="R8">
        <f>C8*1000*O8*E8/10</f>
        <v/>
      </c>
      <c r="S8">
        <f>C8*1000*P8*E8/10</f>
        <v/>
      </c>
      <c r="T8" t="n">
        <v>1</v>
      </c>
    </row>
    <row r="9">
      <c r="A9" t="inlineStr">
        <is>
          <t>OC22</t>
        </is>
      </c>
      <c r="B9" t="inlineStr">
        <is>
          <t>Health professionals</t>
        </is>
      </c>
      <c r="C9" s="6" t="n">
        <v>6070.3</v>
      </c>
      <c r="D9" s="6" t="n">
        <v>6.0703</v>
      </c>
      <c r="E9" s="6" t="n">
        <v>3</v>
      </c>
      <c r="F9" t="n">
        <v>0</v>
      </c>
      <c r="G9" s="12" t="n">
        <v>37906.3</v>
      </c>
      <c r="H9" s="12">
        <f>C9*1000*G9</f>
        <v/>
      </c>
      <c r="I9" s="12">
        <f>H9*E9/10</f>
        <v/>
      </c>
      <c r="J9" t="inlineStr">
        <is>
          <t>OC2</t>
        </is>
      </c>
      <c r="K9" t="inlineStr">
        <is>
          <t>Employment exact from Eurostat lfsa_egai2d; earnings anchored to direct 2022 SES major-group occupation earnings, then distributed within group proportionally.</t>
        </is>
      </c>
      <c r="L9" t="inlineStr">
        <is>
          <t>https://ec.europa.eu/eurostat/api/dissemination/statistics/1.0/data/lfsa_egai2d?geo=EU27_2020&amp;sex=T&amp;unit=THS_PER&amp;time=2024&amp;lang=EN | https://www.ine.es/dyngs/Prensa/en/EES2022.pdf</t>
        </is>
      </c>
      <c r="M9">
        <f>G9/Controls!$B$2</f>
        <v/>
      </c>
      <c r="N9">
        <f>M9*Controls!$B$3</f>
        <v/>
      </c>
      <c r="O9">
        <f>M9*Controls!$B$4</f>
        <v/>
      </c>
      <c r="P9">
        <f>M9*Controls!$B$5</f>
        <v/>
      </c>
      <c r="Q9">
        <f>C9*1000*N9*E9/10</f>
        <v/>
      </c>
      <c r="R9">
        <f>C9*1000*O9*E9/10</f>
        <v/>
      </c>
      <c r="S9">
        <f>C9*1000*P9*E9/10</f>
        <v/>
      </c>
      <c r="T9" t="n">
        <v>1</v>
      </c>
    </row>
    <row r="10">
      <c r="A10" t="inlineStr">
        <is>
          <t>OC23</t>
        </is>
      </c>
      <c r="B10" t="inlineStr">
        <is>
          <t>Teaching professionals</t>
        </is>
      </c>
      <c r="C10" s="6" t="n">
        <v>10871.3</v>
      </c>
      <c r="D10" s="6" t="n">
        <v>10.8713</v>
      </c>
      <c r="E10" s="6" t="n">
        <v>4.4</v>
      </c>
      <c r="F10" t="n">
        <v>0</v>
      </c>
      <c r="G10" s="12" t="n">
        <v>34873.79</v>
      </c>
      <c r="H10" s="12">
        <f>C10*1000*G10</f>
        <v/>
      </c>
      <c r="I10" s="12">
        <f>H10*E10/10</f>
        <v/>
      </c>
      <c r="J10" t="inlineStr">
        <is>
          <t>OC2</t>
        </is>
      </c>
      <c r="K10" t="inlineStr">
        <is>
          <t>Employment exact from Eurostat lfsa_egai2d; earnings anchored to direct 2022 SES major-group occupation earnings, then distributed within group proportionally.</t>
        </is>
      </c>
      <c r="L10" t="inlineStr">
        <is>
          <t>https://ec.europa.eu/eurostat/api/dissemination/statistics/1.0/data/lfsa_egai2d?geo=EU27_2020&amp;sex=T&amp;unit=THS_PER&amp;time=2024&amp;lang=EN | https://www.ine.es/dyngs/Prensa/en/EES2022.pdf</t>
        </is>
      </c>
      <c r="M10">
        <f>G10/Controls!$B$2</f>
        <v/>
      </c>
      <c r="N10">
        <f>M10*Controls!$B$3</f>
        <v/>
      </c>
      <c r="O10">
        <f>M10*Controls!$B$4</f>
        <v/>
      </c>
      <c r="P10">
        <f>M10*Controls!$B$5</f>
        <v/>
      </c>
      <c r="Q10">
        <f>C10*1000*N10*E10/10</f>
        <v/>
      </c>
      <c r="R10">
        <f>C10*1000*O10*E10/10</f>
        <v/>
      </c>
      <c r="S10">
        <f>C10*1000*P10*E10/10</f>
        <v/>
      </c>
      <c r="T10" t="n">
        <v>1</v>
      </c>
    </row>
    <row r="11">
      <c r="A11" t="inlineStr">
        <is>
          <t>OC24</t>
        </is>
      </c>
      <c r="B11" t="inlineStr">
        <is>
          <t>Business and administration professionals</t>
        </is>
      </c>
      <c r="C11" s="6" t="n">
        <v>9700.9</v>
      </c>
      <c r="D11" s="6" t="n">
        <v>9.700899999999999</v>
      </c>
      <c r="E11" s="6" t="n">
        <v>8.199999999999999</v>
      </c>
      <c r="F11" t="n">
        <v>1</v>
      </c>
      <c r="G11" s="12" t="n">
        <v>42455.05</v>
      </c>
      <c r="H11" s="12">
        <f>C11*1000*G11</f>
        <v/>
      </c>
      <c r="I11" s="12">
        <f>H11*E11/10</f>
        <v/>
      </c>
      <c r="J11" t="inlineStr">
        <is>
          <t>OC2</t>
        </is>
      </c>
      <c r="K11" t="inlineStr">
        <is>
          <t>Employment exact from Eurostat lfsa_egai2d; earnings anchored to direct 2022 SES major-group occupation earnings, then distributed within group proportionally.</t>
        </is>
      </c>
      <c r="L11" t="inlineStr">
        <is>
          <t>https://ec.europa.eu/eurostat/api/dissemination/statistics/1.0/data/lfsa_egai2d?geo=EU27_2020&amp;sex=T&amp;unit=THS_PER&amp;time=2024&amp;lang=EN | https://www.ine.es/dyngs/Prensa/en/EES2022.pdf</t>
        </is>
      </c>
      <c r="M11">
        <f>G11/Controls!$B$2</f>
        <v/>
      </c>
      <c r="N11">
        <f>M11*Controls!$B$3</f>
        <v/>
      </c>
      <c r="O11">
        <f>M11*Controls!$B$4</f>
        <v/>
      </c>
      <c r="P11">
        <f>M11*Controls!$B$5</f>
        <v/>
      </c>
      <c r="Q11">
        <f>C11*1000*N11*E11/10</f>
        <v/>
      </c>
      <c r="R11">
        <f>C11*1000*O11*E11/10</f>
        <v/>
      </c>
      <c r="S11">
        <f>C11*1000*P11*E11/10</f>
        <v/>
      </c>
      <c r="T11" t="n">
        <v>1</v>
      </c>
    </row>
    <row r="12">
      <c r="A12" t="inlineStr">
        <is>
          <t>OC25</t>
        </is>
      </c>
      <c r="B12" t="inlineStr">
        <is>
          <t>Information and communications technology professionals</t>
        </is>
      </c>
      <c r="C12" s="6" t="n">
        <v>5270.6</v>
      </c>
      <c r="D12" s="6" t="n">
        <v>5.2706</v>
      </c>
      <c r="E12" s="6" t="n">
        <v>8.800000000000001</v>
      </c>
      <c r="F12" t="n">
        <v>1</v>
      </c>
      <c r="G12" s="12" t="n">
        <v>43971.31</v>
      </c>
      <c r="H12" s="12">
        <f>C12*1000*G12</f>
        <v/>
      </c>
      <c r="I12" s="12">
        <f>H12*E12/10</f>
        <v/>
      </c>
      <c r="J12" t="inlineStr">
        <is>
          <t>OC2</t>
        </is>
      </c>
      <c r="K12" t="inlineStr">
        <is>
          <t>Employment exact from Eurostat lfsa_egai2d; earnings anchored to direct 2022 SES major-group occupation earnings, then distributed within group proportionally.</t>
        </is>
      </c>
      <c r="L12" t="inlineStr">
        <is>
          <t>https://ec.europa.eu/eurostat/api/dissemination/statistics/1.0/data/lfsa_egai2d?geo=EU27_2020&amp;sex=T&amp;unit=THS_PER&amp;time=2024&amp;lang=EN | https://www.ine.es/dyngs/Prensa/en/EES2022.pdf</t>
        </is>
      </c>
      <c r="M12">
        <f>G12/Controls!$B$2</f>
        <v/>
      </c>
      <c r="N12">
        <f>M12*Controls!$B$3</f>
        <v/>
      </c>
      <c r="O12">
        <f>M12*Controls!$B$4</f>
        <v/>
      </c>
      <c r="P12">
        <f>M12*Controls!$B$5</f>
        <v/>
      </c>
      <c r="Q12">
        <f>C12*1000*N12*E12/10</f>
        <v/>
      </c>
      <c r="R12">
        <f>C12*1000*O12*E12/10</f>
        <v/>
      </c>
      <c r="S12">
        <f>C12*1000*P12*E12/10</f>
        <v/>
      </c>
      <c r="T12" t="n">
        <v>1</v>
      </c>
    </row>
    <row r="13">
      <c r="A13" t="inlineStr">
        <is>
          <t>OC26</t>
        </is>
      </c>
      <c r="B13" t="inlineStr">
        <is>
          <t>Legal, social and cultural professionals</t>
        </is>
      </c>
      <c r="C13" s="6" t="n">
        <v>6073.2</v>
      </c>
      <c r="D13" s="6" t="n">
        <v>6.0732</v>
      </c>
      <c r="E13" s="6" t="n">
        <v>7.9</v>
      </c>
      <c r="F13" t="n">
        <v>1</v>
      </c>
      <c r="G13" s="12" t="n">
        <v>37906.3</v>
      </c>
      <c r="H13" s="12">
        <f>C13*1000*G13</f>
        <v/>
      </c>
      <c r="I13" s="12">
        <f>H13*E13/10</f>
        <v/>
      </c>
      <c r="J13" t="inlineStr">
        <is>
          <t>OC2</t>
        </is>
      </c>
      <c r="K13" t="inlineStr">
        <is>
          <t>Employment exact from Eurostat lfsa_egai2d; earnings anchored to direct 2022 SES major-group occupation earnings, then distributed within group proportionally.</t>
        </is>
      </c>
      <c r="L13" t="inlineStr">
        <is>
          <t>https://ec.europa.eu/eurostat/api/dissemination/statistics/1.0/data/lfsa_egai2d?geo=EU27_2020&amp;sex=T&amp;unit=THS_PER&amp;time=2024&amp;lang=EN | https://www.ine.es/dyngs/Prensa/en/EES2022.pdf</t>
        </is>
      </c>
      <c r="M13">
        <f>G13/Controls!$B$2</f>
        <v/>
      </c>
      <c r="N13">
        <f>M13*Controls!$B$3</f>
        <v/>
      </c>
      <c r="O13">
        <f>M13*Controls!$B$4</f>
        <v/>
      </c>
      <c r="P13">
        <f>M13*Controls!$B$5</f>
        <v/>
      </c>
      <c r="Q13">
        <f>C13*1000*N13*E13/10</f>
        <v/>
      </c>
      <c r="R13">
        <f>C13*1000*O13*E13/10</f>
        <v/>
      </c>
      <c r="S13">
        <f>C13*1000*P13*E13/10</f>
        <v/>
      </c>
      <c r="T13" t="n">
        <v>1</v>
      </c>
    </row>
    <row r="14">
      <c r="A14" t="inlineStr">
        <is>
          <t>OC3</t>
        </is>
      </c>
      <c r="B14" t="inlineStr">
        <is>
          <t>Technicians and associate professionals</t>
        </is>
      </c>
      <c r="C14" s="6" t="n">
        <v>31849.6</v>
      </c>
      <c r="D14" s="6" t="n">
        <v>31.8496</v>
      </c>
      <c r="E14" s="6" t="n">
        <v>5.8</v>
      </c>
      <c r="F14" t="n">
        <v>0</v>
      </c>
      <c r="G14" s="12" t="n">
        <v>31899.95</v>
      </c>
      <c r="H14" s="12">
        <f>C14*1000*G14</f>
        <v/>
      </c>
      <c r="I14" s="12">
        <f>H14*E14/10</f>
        <v/>
      </c>
      <c r="J14" t="inlineStr">
        <is>
          <t>OC3</t>
        </is>
      </c>
      <c r="K14" t="inlineStr">
        <is>
          <t>Employment exact from Eurostat lfsa_egai2d; earnings anchored to direct 2022 SES major-group occupation earnings, then distributed within group proportionally.</t>
        </is>
      </c>
      <c r="L14" t="inlineStr">
        <is>
          <t>https://ec.europa.eu/eurostat/api/dissemination/statistics/1.0/data/lfsa_egai2d?geo=EU27_2020&amp;sex=T&amp;unit=THS_PER&amp;time=2024&amp;lang=EN | https://www.ine.es/dyngs/Prensa/en/EES2022.pdf</t>
        </is>
      </c>
      <c r="M14">
        <f>G14/Controls!$B$2</f>
        <v/>
      </c>
      <c r="N14">
        <f>M14*Controls!$B$3</f>
        <v/>
      </c>
      <c r="O14">
        <f>M14*Controls!$B$4</f>
        <v/>
      </c>
      <c r="P14">
        <f>M14*Controls!$B$5</f>
        <v/>
      </c>
      <c r="Q14">
        <f>C14*1000*N14*E14/10</f>
        <v/>
      </c>
      <c r="R14">
        <f>C14*1000*O14*E14/10</f>
        <v/>
      </c>
      <c r="S14">
        <f>C14*1000*P14*E14/10</f>
        <v/>
      </c>
      <c r="T14" t="n">
        <v>0</v>
      </c>
    </row>
    <row r="15">
      <c r="A15" t="inlineStr">
        <is>
          <t>OC31</t>
        </is>
      </c>
      <c r="B15" t="inlineStr">
        <is>
          <t>Science and engineering associate professionals</t>
        </is>
      </c>
      <c r="C15" s="6" t="n">
        <v>6924.9</v>
      </c>
      <c r="D15" s="6" t="n">
        <v>6.9249</v>
      </c>
      <c r="E15" s="6" t="n">
        <v>5.4</v>
      </c>
      <c r="F15" t="n">
        <v>0</v>
      </c>
      <c r="G15" s="12" t="n">
        <v>33747.4</v>
      </c>
      <c r="H15" s="12">
        <f>C15*1000*G15</f>
        <v/>
      </c>
      <c r="I15" s="12">
        <f>H15*E15/10</f>
        <v/>
      </c>
      <c r="J15" t="inlineStr">
        <is>
          <t>OC3</t>
        </is>
      </c>
      <c r="K15" t="inlineStr">
        <is>
          <t>Employment exact from Eurostat lfsa_egai2d; earnings anchored to direct 2022 SES major-group occupation earnings, then distributed within group proportionally.</t>
        </is>
      </c>
      <c r="L15" t="inlineStr">
        <is>
          <t>https://ec.europa.eu/eurostat/api/dissemination/statistics/1.0/data/lfsa_egai2d?geo=EU27_2020&amp;sex=T&amp;unit=THS_PER&amp;time=2024&amp;lang=EN | https://www.ine.es/dyngs/Prensa/en/EES2022.pdf</t>
        </is>
      </c>
      <c r="M15">
        <f>G15/Controls!$B$2</f>
        <v/>
      </c>
      <c r="N15">
        <f>M15*Controls!$B$3</f>
        <v/>
      </c>
      <c r="O15">
        <f>M15*Controls!$B$4</f>
        <v/>
      </c>
      <c r="P15">
        <f>M15*Controls!$B$5</f>
        <v/>
      </c>
      <c r="Q15">
        <f>C15*1000*N15*E15/10</f>
        <v/>
      </c>
      <c r="R15">
        <f>C15*1000*O15*E15/10</f>
        <v/>
      </c>
      <c r="S15">
        <f>C15*1000*P15*E15/10</f>
        <v/>
      </c>
      <c r="T15" t="n">
        <v>1</v>
      </c>
    </row>
    <row r="16">
      <c r="A16" t="inlineStr">
        <is>
          <t>OC32</t>
        </is>
      </c>
      <c r="B16" t="inlineStr">
        <is>
          <t>Health associate professionals</t>
        </is>
      </c>
      <c r="C16" s="6" t="n">
        <v>6106.8</v>
      </c>
      <c r="D16" s="6" t="n">
        <v>6.1068</v>
      </c>
      <c r="E16" s="6" t="n">
        <v>2.8</v>
      </c>
      <c r="F16" t="n">
        <v>0</v>
      </c>
      <c r="G16" s="12" t="n">
        <v>28926.34</v>
      </c>
      <c r="H16" s="12">
        <f>C16*1000*G16</f>
        <v/>
      </c>
      <c r="I16" s="12">
        <f>H16*E16/10</f>
        <v/>
      </c>
      <c r="J16" t="inlineStr">
        <is>
          <t>OC3</t>
        </is>
      </c>
      <c r="K16" t="inlineStr">
        <is>
          <t>Employment exact from Eurostat lfsa_egai2d; earnings anchored to direct 2022 SES major-group occupation earnings, then distributed within group proportionally.</t>
        </is>
      </c>
      <c r="L16" t="inlineStr">
        <is>
          <t>https://ec.europa.eu/eurostat/api/dissemination/statistics/1.0/data/lfsa_egai2d?geo=EU27_2020&amp;sex=T&amp;unit=THS_PER&amp;time=2024&amp;lang=EN | https://www.ine.es/dyngs/Prensa/en/EES2022.pdf</t>
        </is>
      </c>
      <c r="M16">
        <f>G16/Controls!$B$2</f>
        <v/>
      </c>
      <c r="N16">
        <f>M16*Controls!$B$3</f>
        <v/>
      </c>
      <c r="O16">
        <f>M16*Controls!$B$4</f>
        <v/>
      </c>
      <c r="P16">
        <f>M16*Controls!$B$5</f>
        <v/>
      </c>
      <c r="Q16">
        <f>C16*1000*N16*E16/10</f>
        <v/>
      </c>
      <c r="R16">
        <f>C16*1000*O16*E16/10</f>
        <v/>
      </c>
      <c r="S16">
        <f>C16*1000*P16*E16/10</f>
        <v/>
      </c>
      <c r="T16" t="n">
        <v>1</v>
      </c>
    </row>
    <row r="17">
      <c r="A17" t="inlineStr">
        <is>
          <t>OC33</t>
        </is>
      </c>
      <c r="B17" t="inlineStr">
        <is>
          <t>Business and administration associate professionals</t>
        </is>
      </c>
      <c r="C17" s="6" t="n">
        <v>13213.5</v>
      </c>
      <c r="D17" s="6" t="n">
        <v>13.2135</v>
      </c>
      <c r="E17" s="6" t="n">
        <v>6.9</v>
      </c>
      <c r="F17" t="n">
        <v>0</v>
      </c>
      <c r="G17" s="12" t="n">
        <v>32140.38</v>
      </c>
      <c r="H17" s="12">
        <f>C17*1000*G17</f>
        <v/>
      </c>
      <c r="I17" s="12">
        <f>H17*E17/10</f>
        <v/>
      </c>
      <c r="J17" t="inlineStr">
        <is>
          <t>OC3</t>
        </is>
      </c>
      <c r="K17" t="inlineStr">
        <is>
          <t>Employment exact from Eurostat lfsa_egai2d; earnings anchored to direct 2022 SES major-group occupation earnings, then distributed within group proportionally.</t>
        </is>
      </c>
      <c r="L17" t="inlineStr">
        <is>
          <t>https://ec.europa.eu/eurostat/api/dissemination/statistics/1.0/data/lfsa_egai2d?geo=EU27_2020&amp;sex=T&amp;unit=THS_PER&amp;time=2024&amp;lang=EN | https://www.ine.es/dyngs/Prensa/en/EES2022.pdf</t>
        </is>
      </c>
      <c r="M17">
        <f>G17/Controls!$B$2</f>
        <v/>
      </c>
      <c r="N17">
        <f>M17*Controls!$B$3</f>
        <v/>
      </c>
      <c r="O17">
        <f>M17*Controls!$B$4</f>
        <v/>
      </c>
      <c r="P17">
        <f>M17*Controls!$B$5</f>
        <v/>
      </c>
      <c r="Q17">
        <f>C17*1000*N17*E17/10</f>
        <v/>
      </c>
      <c r="R17">
        <f>C17*1000*O17*E17/10</f>
        <v/>
      </c>
      <c r="S17">
        <f>C17*1000*P17*E17/10</f>
        <v/>
      </c>
      <c r="T17" t="n">
        <v>1</v>
      </c>
    </row>
    <row r="18">
      <c r="A18" t="inlineStr">
        <is>
          <t>OC34</t>
        </is>
      </c>
      <c r="B18" t="inlineStr">
        <is>
          <t>Legal, social, cultural and related associate professionals</t>
        </is>
      </c>
      <c r="C18" s="6" t="n">
        <v>3555.3</v>
      </c>
      <c r="D18" s="6" t="n">
        <v>3.5553</v>
      </c>
      <c r="E18" s="6" t="n">
        <v>6.1</v>
      </c>
      <c r="F18" t="n">
        <v>0</v>
      </c>
      <c r="G18" s="12" t="n">
        <v>30533.36</v>
      </c>
      <c r="H18" s="12">
        <f>C18*1000*G18</f>
        <v/>
      </c>
      <c r="I18" s="12">
        <f>H18*E18/10</f>
        <v/>
      </c>
      <c r="J18" t="inlineStr">
        <is>
          <t>OC3</t>
        </is>
      </c>
      <c r="K18" t="inlineStr">
        <is>
          <t>Employment exact from Eurostat lfsa_egai2d; earnings anchored to direct 2022 SES major-group occupation earnings, then distributed within group proportionally.</t>
        </is>
      </c>
      <c r="L18" t="inlineStr">
        <is>
          <t>https://ec.europa.eu/eurostat/api/dissemination/statistics/1.0/data/lfsa_egai2d?geo=EU27_2020&amp;sex=T&amp;unit=THS_PER&amp;time=2024&amp;lang=EN | https://www.ine.es/dyngs/Prensa/en/EES2022.pdf</t>
        </is>
      </c>
      <c r="M18">
        <f>G18/Controls!$B$2</f>
        <v/>
      </c>
      <c r="N18">
        <f>M18*Controls!$B$3</f>
        <v/>
      </c>
      <c r="O18">
        <f>M18*Controls!$B$4</f>
        <v/>
      </c>
      <c r="P18">
        <f>M18*Controls!$B$5</f>
        <v/>
      </c>
      <c r="Q18">
        <f>C18*1000*N18*E18/10</f>
        <v/>
      </c>
      <c r="R18">
        <f>C18*1000*O18*E18/10</f>
        <v/>
      </c>
      <c r="S18">
        <f>C18*1000*P18*E18/10</f>
        <v/>
      </c>
      <c r="T18" t="n">
        <v>1</v>
      </c>
    </row>
    <row r="19">
      <c r="A19" t="inlineStr">
        <is>
          <t>OC35</t>
        </is>
      </c>
      <c r="B19" t="inlineStr">
        <is>
          <t>Information and communications technicians</t>
        </is>
      </c>
      <c r="C19" s="6" t="n">
        <v>2040.1</v>
      </c>
      <c r="D19" s="6" t="n">
        <v>2.0401</v>
      </c>
      <c r="E19" s="6" t="n">
        <v>6.8</v>
      </c>
      <c r="F19" t="n">
        <v>0</v>
      </c>
      <c r="G19" s="12" t="n">
        <v>35354.42</v>
      </c>
      <c r="H19" s="12">
        <f>C19*1000*G19</f>
        <v/>
      </c>
      <c r="I19" s="12">
        <f>H19*E19/10</f>
        <v/>
      </c>
      <c r="J19" t="inlineStr">
        <is>
          <t>OC3</t>
        </is>
      </c>
      <c r="K19" t="inlineStr">
        <is>
          <t>Employment exact from Eurostat lfsa_egai2d; earnings anchored to direct 2022 SES major-group occupation earnings, then distributed within group proportionally.</t>
        </is>
      </c>
      <c r="L19" t="inlineStr">
        <is>
          <t>https://ec.europa.eu/eurostat/api/dissemination/statistics/1.0/data/lfsa_egai2d?geo=EU27_2020&amp;sex=T&amp;unit=THS_PER&amp;time=2024&amp;lang=EN | https://www.ine.es/dyngs/Prensa/en/EES2022.pdf</t>
        </is>
      </c>
      <c r="M19">
        <f>G19/Controls!$B$2</f>
        <v/>
      </c>
      <c r="N19">
        <f>M19*Controls!$B$3</f>
        <v/>
      </c>
      <c r="O19">
        <f>M19*Controls!$B$4</f>
        <v/>
      </c>
      <c r="P19">
        <f>M19*Controls!$B$5</f>
        <v/>
      </c>
      <c r="Q19">
        <f>C19*1000*N19*E19/10</f>
        <v/>
      </c>
      <c r="R19">
        <f>C19*1000*O19*E19/10</f>
        <v/>
      </c>
      <c r="S19">
        <f>C19*1000*P19*E19/10</f>
        <v/>
      </c>
      <c r="T19" t="n">
        <v>1</v>
      </c>
    </row>
    <row r="20">
      <c r="A20" t="inlineStr">
        <is>
          <t>OC4</t>
        </is>
      </c>
      <c r="B20" t="inlineStr">
        <is>
          <t>Clerical support workers</t>
        </is>
      </c>
      <c r="C20" s="6" t="n">
        <v>19169.9</v>
      </c>
      <c r="D20" s="6" t="n">
        <v>19.1699</v>
      </c>
      <c r="E20" s="6" t="n">
        <v>7.6</v>
      </c>
      <c r="F20" t="n">
        <v>1</v>
      </c>
      <c r="G20" s="12" t="n">
        <v>24198.08</v>
      </c>
      <c r="H20" s="12">
        <f>C20*1000*G20</f>
        <v/>
      </c>
      <c r="I20" s="12">
        <f>H20*E20/10</f>
        <v/>
      </c>
      <c r="J20" t="inlineStr">
        <is>
          <t>OC4</t>
        </is>
      </c>
      <c r="K20" t="inlineStr">
        <is>
          <t>Employment exact from Eurostat lfsa_egai2d; earnings anchored to direct 2022 SES major-group occupation earnings, then distributed within group proportionally.</t>
        </is>
      </c>
      <c r="L20" t="inlineStr">
        <is>
          <t>https://ec.europa.eu/eurostat/api/dissemination/statistics/1.0/data/lfsa_egai2d?geo=EU27_2020&amp;sex=T&amp;unit=THS_PER&amp;time=2024&amp;lang=EN | https://www.ine.es/dyngs/Prensa/en/EES2022.pdf</t>
        </is>
      </c>
      <c r="M20">
        <f>G20/Controls!$B$2</f>
        <v/>
      </c>
      <c r="N20">
        <f>M20*Controls!$B$3</f>
        <v/>
      </c>
      <c r="O20">
        <f>M20*Controls!$B$4</f>
        <v/>
      </c>
      <c r="P20">
        <f>M20*Controls!$B$5</f>
        <v/>
      </c>
      <c r="Q20">
        <f>C20*1000*N20*E20/10</f>
        <v/>
      </c>
      <c r="R20">
        <f>C20*1000*O20*E20/10</f>
        <v/>
      </c>
      <c r="S20">
        <f>C20*1000*P20*E20/10</f>
        <v/>
      </c>
      <c r="T20" t="n">
        <v>0</v>
      </c>
    </row>
    <row r="21">
      <c r="A21" t="inlineStr">
        <is>
          <t>OC41</t>
        </is>
      </c>
      <c r="B21" t="inlineStr">
        <is>
          <t>General and keyboard clerks</t>
        </is>
      </c>
      <c r="C21" s="6" t="n">
        <v>8007</v>
      </c>
      <c r="D21" s="6" t="n">
        <v>8.007</v>
      </c>
      <c r="E21" s="6" t="n">
        <v>8.800000000000001</v>
      </c>
      <c r="F21" t="n">
        <v>1</v>
      </c>
      <c r="G21" s="12" t="n">
        <v>23677.53</v>
      </c>
      <c r="H21" s="12">
        <f>C21*1000*G21</f>
        <v/>
      </c>
      <c r="I21" s="12">
        <f>H21*E21/10</f>
        <v/>
      </c>
      <c r="J21" t="inlineStr">
        <is>
          <t>OC4</t>
        </is>
      </c>
      <c r="K21" t="inlineStr">
        <is>
          <t>Employment exact from Eurostat lfsa_egai2d; earnings anchored to direct 2022 SES major-group occupation earnings, then distributed within group proportionally.</t>
        </is>
      </c>
      <c r="L21" t="inlineStr">
        <is>
          <t>https://ec.europa.eu/eurostat/api/dissemination/statistics/1.0/data/lfsa_egai2d?geo=EU27_2020&amp;sex=T&amp;unit=THS_PER&amp;time=2024&amp;lang=EN | https://www.ine.es/dyngs/Prensa/en/EES2022.pdf</t>
        </is>
      </c>
      <c r="M21">
        <f>G21/Controls!$B$2</f>
        <v/>
      </c>
      <c r="N21">
        <f>M21*Controls!$B$3</f>
        <v/>
      </c>
      <c r="O21">
        <f>M21*Controls!$B$4</f>
        <v/>
      </c>
      <c r="P21">
        <f>M21*Controls!$B$5</f>
        <v/>
      </c>
      <c r="Q21">
        <f>C21*1000*N21*E21/10</f>
        <v/>
      </c>
      <c r="R21">
        <f>C21*1000*O21*E21/10</f>
        <v/>
      </c>
      <c r="S21">
        <f>C21*1000*P21*E21/10</f>
        <v/>
      </c>
      <c r="T21" t="n">
        <v>1</v>
      </c>
    </row>
    <row r="22">
      <c r="A22" t="inlineStr">
        <is>
          <t>OC42</t>
        </is>
      </c>
      <c r="B22" t="inlineStr">
        <is>
          <t>Customer services clerks</t>
        </is>
      </c>
      <c r="C22" s="6" t="n">
        <v>3520.1</v>
      </c>
      <c r="D22" s="6" t="n">
        <v>3.5201</v>
      </c>
      <c r="E22" s="6" t="n">
        <v>7.8</v>
      </c>
      <c r="F22" t="n">
        <v>1</v>
      </c>
      <c r="G22" s="12" t="n">
        <v>24284.65</v>
      </c>
      <c r="H22" s="12">
        <f>C22*1000*G22</f>
        <v/>
      </c>
      <c r="I22" s="12">
        <f>H22*E22/10</f>
        <v/>
      </c>
      <c r="J22" t="inlineStr">
        <is>
          <t>OC4</t>
        </is>
      </c>
      <c r="K22" t="inlineStr">
        <is>
          <t>Employment exact from Eurostat lfsa_egai2d; earnings anchored to direct 2022 SES major-group occupation earnings, then distributed within group proportionally.</t>
        </is>
      </c>
      <c r="L22" t="inlineStr">
        <is>
          <t>https://ec.europa.eu/eurostat/api/dissemination/statistics/1.0/data/lfsa_egai2d?geo=EU27_2020&amp;sex=T&amp;unit=THS_PER&amp;time=2024&amp;lang=EN | https://www.ine.es/dyngs/Prensa/en/EES2022.pdf</t>
        </is>
      </c>
      <c r="M22">
        <f>G22/Controls!$B$2</f>
        <v/>
      </c>
      <c r="N22">
        <f>M22*Controls!$B$3</f>
        <v/>
      </c>
      <c r="O22">
        <f>M22*Controls!$B$4</f>
        <v/>
      </c>
      <c r="P22">
        <f>M22*Controls!$B$5</f>
        <v/>
      </c>
      <c r="Q22">
        <f>C22*1000*N22*E22/10</f>
        <v/>
      </c>
      <c r="R22">
        <f>C22*1000*O22*E22/10</f>
        <v/>
      </c>
      <c r="S22">
        <f>C22*1000*P22*E22/10</f>
        <v/>
      </c>
      <c r="T22" t="n">
        <v>1</v>
      </c>
    </row>
    <row r="23">
      <c r="A23" t="inlineStr">
        <is>
          <t>OC43</t>
        </is>
      </c>
      <c r="B23" t="inlineStr">
        <is>
          <t>Numerical and material recording clerks</t>
        </is>
      </c>
      <c r="C23" s="6" t="n">
        <v>6059.7</v>
      </c>
      <c r="D23" s="6" t="n">
        <v>6.059699999999999</v>
      </c>
      <c r="E23" s="6" t="n">
        <v>7.6</v>
      </c>
      <c r="F23" t="n">
        <v>1</v>
      </c>
      <c r="G23" s="12" t="n">
        <v>24891.77</v>
      </c>
      <c r="H23" s="12">
        <f>C23*1000*G23</f>
        <v/>
      </c>
      <c r="I23" s="12">
        <f>H23*E23/10</f>
        <v/>
      </c>
      <c r="J23" t="inlineStr">
        <is>
          <t>OC4</t>
        </is>
      </c>
      <c r="K23" t="inlineStr">
        <is>
          <t>Employment exact from Eurostat lfsa_egai2d; earnings anchored to direct 2022 SES major-group occupation earnings, then distributed within group proportionally.</t>
        </is>
      </c>
      <c r="L23" t="inlineStr">
        <is>
          <t>https://ec.europa.eu/eurostat/api/dissemination/statistics/1.0/data/lfsa_egai2d?geo=EU27_2020&amp;sex=T&amp;unit=THS_PER&amp;time=2024&amp;lang=EN | https://www.ine.es/dyngs/Prensa/en/EES2022.pdf</t>
        </is>
      </c>
      <c r="M23">
        <f>G23/Controls!$B$2</f>
        <v/>
      </c>
      <c r="N23">
        <f>M23*Controls!$B$3</f>
        <v/>
      </c>
      <c r="O23">
        <f>M23*Controls!$B$4</f>
        <v/>
      </c>
      <c r="P23">
        <f>M23*Controls!$B$5</f>
        <v/>
      </c>
      <c r="Q23">
        <f>C23*1000*N23*E23/10</f>
        <v/>
      </c>
      <c r="R23">
        <f>C23*1000*O23*E23/10</f>
        <v/>
      </c>
      <c r="S23">
        <f>C23*1000*P23*E23/10</f>
        <v/>
      </c>
      <c r="T23" t="n">
        <v>1</v>
      </c>
    </row>
    <row r="24">
      <c r="A24" t="inlineStr">
        <is>
          <t>OC44</t>
        </is>
      </c>
      <c r="B24" t="inlineStr">
        <is>
          <t>Other clerical support workers</t>
        </is>
      </c>
      <c r="C24" s="6" t="n">
        <v>1568</v>
      </c>
      <c r="D24" s="6" t="n">
        <v>1.568</v>
      </c>
      <c r="E24" s="6" t="n">
        <v>6.8</v>
      </c>
      <c r="F24" t="n">
        <v>0</v>
      </c>
      <c r="G24" s="12" t="n">
        <v>23981.09</v>
      </c>
      <c r="H24" s="12">
        <f>C24*1000*G24</f>
        <v/>
      </c>
      <c r="I24" s="12">
        <f>H24*E24/10</f>
        <v/>
      </c>
      <c r="J24" t="inlineStr">
        <is>
          <t>OC4</t>
        </is>
      </c>
      <c r="K24" t="inlineStr">
        <is>
          <t>Employment exact from Eurostat lfsa_egai2d; earnings anchored to direct 2022 SES major-group occupation earnings, then distributed within group proportionally.</t>
        </is>
      </c>
      <c r="L24" t="inlineStr">
        <is>
          <t>https://ec.europa.eu/eurostat/api/dissemination/statistics/1.0/data/lfsa_egai2d?geo=EU27_2020&amp;sex=T&amp;unit=THS_PER&amp;time=2024&amp;lang=EN | https://www.ine.es/dyngs/Prensa/en/EES2022.pdf</t>
        </is>
      </c>
      <c r="M24">
        <f>G24/Controls!$B$2</f>
        <v/>
      </c>
      <c r="N24">
        <f>M24*Controls!$B$3</f>
        <v/>
      </c>
      <c r="O24">
        <f>M24*Controls!$B$4</f>
        <v/>
      </c>
      <c r="P24">
        <f>M24*Controls!$B$5</f>
        <v/>
      </c>
      <c r="Q24">
        <f>C24*1000*N24*E24/10</f>
        <v/>
      </c>
      <c r="R24">
        <f>C24*1000*O24*E24/10</f>
        <v/>
      </c>
      <c r="S24">
        <f>C24*1000*P24*E24/10</f>
        <v/>
      </c>
      <c r="T24" t="n">
        <v>1</v>
      </c>
    </row>
    <row r="25">
      <c r="A25" t="inlineStr">
        <is>
          <t>OC5</t>
        </is>
      </c>
      <c r="B25" t="inlineStr">
        <is>
          <t>Service and sales workers</t>
        </is>
      </c>
      <c r="C25" s="6" t="n">
        <v>30671.8</v>
      </c>
      <c r="D25" s="6" t="n">
        <v>30.6718</v>
      </c>
      <c r="E25" s="6" t="n">
        <v>3.2</v>
      </c>
      <c r="F25" t="n">
        <v>0</v>
      </c>
      <c r="G25" s="12" t="n">
        <v>18992.66</v>
      </c>
      <c r="H25" s="12">
        <f>C25*1000*G25</f>
        <v/>
      </c>
      <c r="I25" s="12">
        <f>H25*E25/10</f>
        <v/>
      </c>
      <c r="J25" t="inlineStr">
        <is>
          <t>OC5</t>
        </is>
      </c>
      <c r="K25" t="inlineStr">
        <is>
          <t>Employment exact from Eurostat lfsa_egai2d; earnings anchored to direct 2022 SES major-group occupation earnings, then distributed within group proportionally.</t>
        </is>
      </c>
      <c r="L25" t="inlineStr">
        <is>
          <t>https://ec.europa.eu/eurostat/api/dissemination/statistics/1.0/data/lfsa_egai2d?geo=EU27_2020&amp;sex=T&amp;unit=THS_PER&amp;time=2024&amp;lang=EN | https://www.ine.es/dyngs/Prensa/en/EES2022.pdf</t>
        </is>
      </c>
      <c r="M25">
        <f>G25/Controls!$B$2</f>
        <v/>
      </c>
      <c r="N25">
        <f>M25*Controls!$B$3</f>
        <v/>
      </c>
      <c r="O25">
        <f>M25*Controls!$B$4</f>
        <v/>
      </c>
      <c r="P25">
        <f>M25*Controls!$B$5</f>
        <v/>
      </c>
      <c r="Q25">
        <f>C25*1000*N25*E25/10</f>
        <v/>
      </c>
      <c r="R25">
        <f>C25*1000*O25*E25/10</f>
        <v/>
      </c>
      <c r="S25">
        <f>C25*1000*P25*E25/10</f>
        <v/>
      </c>
      <c r="T25" t="n">
        <v>0</v>
      </c>
    </row>
    <row r="26">
      <c r="A26" t="inlineStr">
        <is>
          <t>OC51</t>
        </is>
      </c>
      <c r="B26" t="inlineStr">
        <is>
          <t>Personal service workers</t>
        </is>
      </c>
      <c r="C26" s="6" t="n">
        <v>8422.200000000001</v>
      </c>
      <c r="D26" s="6" t="n">
        <v>8.4222</v>
      </c>
      <c r="E26" s="6" t="n">
        <v>2.8</v>
      </c>
      <c r="F26" t="n">
        <v>0</v>
      </c>
      <c r="G26" s="12" t="n">
        <v>19074.12</v>
      </c>
      <c r="H26" s="12">
        <f>C26*1000*G26</f>
        <v/>
      </c>
      <c r="I26" s="12">
        <f>H26*E26/10</f>
        <v/>
      </c>
      <c r="J26" t="inlineStr">
        <is>
          <t>OC5</t>
        </is>
      </c>
      <c r="K26" t="inlineStr">
        <is>
          <t>Employment exact from Eurostat lfsa_egai2d; earnings anchored to direct 2022 SES major-group occupation earnings, then distributed within group proportionally.</t>
        </is>
      </c>
      <c r="L26" t="inlineStr">
        <is>
          <t>https://ec.europa.eu/eurostat/api/dissemination/statistics/1.0/data/lfsa_egai2d?geo=EU27_2020&amp;sex=T&amp;unit=THS_PER&amp;time=2024&amp;lang=EN | https://www.ine.es/dyngs/Prensa/en/EES2022.pdf</t>
        </is>
      </c>
      <c r="M26">
        <f>G26/Controls!$B$2</f>
        <v/>
      </c>
      <c r="N26">
        <f>M26*Controls!$B$3</f>
        <v/>
      </c>
      <c r="O26">
        <f>M26*Controls!$B$4</f>
        <v/>
      </c>
      <c r="P26">
        <f>M26*Controls!$B$5</f>
        <v/>
      </c>
      <c r="Q26">
        <f>C26*1000*N26*E26/10</f>
        <v/>
      </c>
      <c r="R26">
        <f>C26*1000*O26*E26/10</f>
        <v/>
      </c>
      <c r="S26">
        <f>C26*1000*P26*E26/10</f>
        <v/>
      </c>
      <c r="T26" t="n">
        <v>1</v>
      </c>
    </row>
    <row r="27">
      <c r="A27" t="inlineStr">
        <is>
          <t>OC52</t>
        </is>
      </c>
      <c r="B27" t="inlineStr">
        <is>
          <t>Sales workers</t>
        </is>
      </c>
      <c r="C27" s="6" t="n">
        <v>12732.3</v>
      </c>
      <c r="D27" s="6" t="n">
        <v>12.7323</v>
      </c>
      <c r="E27" s="6" t="n">
        <v>3.8</v>
      </c>
      <c r="F27" t="n">
        <v>0</v>
      </c>
      <c r="G27" s="12" t="n">
        <v>18193.77</v>
      </c>
      <c r="H27" s="12">
        <f>C27*1000*G27</f>
        <v/>
      </c>
      <c r="I27" s="12">
        <f>H27*E27/10</f>
        <v/>
      </c>
      <c r="J27" t="inlineStr">
        <is>
          <t>OC5</t>
        </is>
      </c>
      <c r="K27" t="inlineStr">
        <is>
          <t>Employment exact from Eurostat lfsa_egai2d; earnings anchored to direct 2022 SES major-group occupation earnings, then distributed within group proportionally.</t>
        </is>
      </c>
      <c r="L27" t="inlineStr">
        <is>
          <t>https://ec.europa.eu/eurostat/api/dissemination/statistics/1.0/data/lfsa_egai2d?geo=EU27_2020&amp;sex=T&amp;unit=THS_PER&amp;time=2024&amp;lang=EN | https://www.ine.es/dyngs/Prensa/en/EES2022.pdf</t>
        </is>
      </c>
      <c r="M27">
        <f>G27/Controls!$B$2</f>
        <v/>
      </c>
      <c r="N27">
        <f>M27*Controls!$B$3</f>
        <v/>
      </c>
      <c r="O27">
        <f>M27*Controls!$B$4</f>
        <v/>
      </c>
      <c r="P27">
        <f>M27*Controls!$B$5</f>
        <v/>
      </c>
      <c r="Q27">
        <f>C27*1000*N27*E27/10</f>
        <v/>
      </c>
      <c r="R27">
        <f>C27*1000*O27*E27/10</f>
        <v/>
      </c>
      <c r="S27">
        <f>C27*1000*P27*E27/10</f>
        <v/>
      </c>
      <c r="T27" t="n">
        <v>1</v>
      </c>
    </row>
    <row r="28">
      <c r="A28" t="inlineStr">
        <is>
          <t>OC53</t>
        </is>
      </c>
      <c r="B28" t="inlineStr">
        <is>
          <t>Personal care workers</t>
        </is>
      </c>
      <c r="C28" s="6" t="n">
        <v>6426.2</v>
      </c>
      <c r="D28" s="6" t="n">
        <v>6.4262</v>
      </c>
      <c r="E28" s="6" t="n">
        <v>2.2</v>
      </c>
      <c r="F28" t="n">
        <v>0</v>
      </c>
      <c r="G28" s="12" t="n">
        <v>17606.88</v>
      </c>
      <c r="H28" s="12">
        <f>C28*1000*G28</f>
        <v/>
      </c>
      <c r="I28" s="12">
        <f>H28*E28/10</f>
        <v/>
      </c>
      <c r="J28" t="inlineStr">
        <is>
          <t>OC5</t>
        </is>
      </c>
      <c r="K28" t="inlineStr">
        <is>
          <t>Employment exact from Eurostat lfsa_egai2d; earnings anchored to direct 2022 SES major-group occupation earnings, then distributed within group proportionally.</t>
        </is>
      </c>
      <c r="L28" t="inlineStr">
        <is>
          <t>https://ec.europa.eu/eurostat/api/dissemination/statistics/1.0/data/lfsa_egai2d?geo=EU27_2020&amp;sex=T&amp;unit=THS_PER&amp;time=2024&amp;lang=EN | https://www.ine.es/dyngs/Prensa/en/EES2022.pdf</t>
        </is>
      </c>
      <c r="M28">
        <f>G28/Controls!$B$2</f>
        <v/>
      </c>
      <c r="N28">
        <f>M28*Controls!$B$3</f>
        <v/>
      </c>
      <c r="O28">
        <f>M28*Controls!$B$4</f>
        <v/>
      </c>
      <c r="P28">
        <f>M28*Controls!$B$5</f>
        <v/>
      </c>
      <c r="Q28">
        <f>C28*1000*N28*E28/10</f>
        <v/>
      </c>
      <c r="R28">
        <f>C28*1000*O28*E28/10</f>
        <v/>
      </c>
      <c r="S28">
        <f>C28*1000*P28*E28/10</f>
        <v/>
      </c>
      <c r="T28" t="n">
        <v>1</v>
      </c>
    </row>
    <row r="29">
      <c r="A29" t="inlineStr">
        <is>
          <t>OC54</t>
        </is>
      </c>
      <c r="B29" t="inlineStr">
        <is>
          <t>Protective services workers</t>
        </is>
      </c>
      <c r="C29" s="6" t="n">
        <v>3090.7</v>
      </c>
      <c r="D29" s="6" t="n">
        <v>3.0907</v>
      </c>
      <c r="E29" s="6" t="n">
        <v>1.8</v>
      </c>
      <c r="F29" t="n">
        <v>0</v>
      </c>
      <c r="G29" s="12" t="n">
        <v>24943.08</v>
      </c>
      <c r="H29" s="12">
        <f>C29*1000*G29</f>
        <v/>
      </c>
      <c r="I29" s="12">
        <f>H29*E29/10</f>
        <v/>
      </c>
      <c r="J29" t="inlineStr">
        <is>
          <t>OC5</t>
        </is>
      </c>
      <c r="K29" t="inlineStr">
        <is>
          <t>Employment exact from Eurostat lfsa_egai2d; earnings anchored to direct 2022 SES major-group occupation earnings, then distributed within group proportionally.</t>
        </is>
      </c>
      <c r="L29" t="inlineStr">
        <is>
          <t>https://ec.europa.eu/eurostat/api/dissemination/statistics/1.0/data/lfsa_egai2d?geo=EU27_2020&amp;sex=T&amp;unit=THS_PER&amp;time=2024&amp;lang=EN | https://www.ine.es/dyngs/Prensa/en/EES2022.pdf</t>
        </is>
      </c>
      <c r="M29">
        <f>G29/Controls!$B$2</f>
        <v/>
      </c>
      <c r="N29">
        <f>M29*Controls!$B$3</f>
        <v/>
      </c>
      <c r="O29">
        <f>M29*Controls!$B$4</f>
        <v/>
      </c>
      <c r="P29">
        <f>M29*Controls!$B$5</f>
        <v/>
      </c>
      <c r="Q29">
        <f>C29*1000*N29*E29/10</f>
        <v/>
      </c>
      <c r="R29">
        <f>C29*1000*O29*E29/10</f>
        <v/>
      </c>
      <c r="S29">
        <f>C29*1000*P29*E29/10</f>
        <v/>
      </c>
      <c r="T29" t="n">
        <v>1</v>
      </c>
    </row>
    <row r="30">
      <c r="A30" t="inlineStr">
        <is>
          <t>OC6</t>
        </is>
      </c>
      <c r="B30" t="inlineStr">
        <is>
          <t>Skilled agricultural, forestry and fishery workers</t>
        </is>
      </c>
      <c r="C30" s="6" t="n">
        <v>4901.8</v>
      </c>
      <c r="D30" s="6" t="n">
        <v>4.901800000000001</v>
      </c>
      <c r="E30" s="6" t="n">
        <v>0.9</v>
      </c>
      <c r="F30" t="n">
        <v>0</v>
      </c>
      <c r="G30" s="12" t="n">
        <v>21383.06</v>
      </c>
      <c r="H30" s="12">
        <f>C30*1000*G30</f>
        <v/>
      </c>
      <c r="I30" s="12">
        <f>H30*E30/10</f>
        <v/>
      </c>
      <c r="J30" t="inlineStr">
        <is>
          <t>OC6</t>
        </is>
      </c>
      <c r="K30" t="inlineStr">
        <is>
          <t>Employment exact from Eurostat lfsa_egai2d; earnings anchored to direct 2022 SES major-group occupation earnings, then distributed within group proportionally.</t>
        </is>
      </c>
      <c r="L30" t="inlineStr">
        <is>
          <t>https://ec.europa.eu/eurostat/api/dissemination/statistics/1.0/data/lfsa_egai2d?geo=EU27_2020&amp;sex=T&amp;unit=THS_PER&amp;time=2024&amp;lang=EN | https://www.ine.es/dyngs/Prensa/en/EES2022.pdf</t>
        </is>
      </c>
      <c r="M30">
        <f>G30/Controls!$B$2</f>
        <v/>
      </c>
      <c r="N30">
        <f>M30*Controls!$B$3</f>
        <v/>
      </c>
      <c r="O30">
        <f>M30*Controls!$B$4</f>
        <v/>
      </c>
      <c r="P30">
        <f>M30*Controls!$B$5</f>
        <v/>
      </c>
      <c r="Q30">
        <f>C30*1000*N30*E30/10</f>
        <v/>
      </c>
      <c r="R30">
        <f>C30*1000*O30*E30/10</f>
        <v/>
      </c>
      <c r="S30">
        <f>C30*1000*P30*E30/10</f>
        <v/>
      </c>
      <c r="T30" t="n">
        <v>0</v>
      </c>
    </row>
    <row r="31">
      <c r="A31" t="inlineStr">
        <is>
          <t>OC61</t>
        </is>
      </c>
      <c r="B31" t="inlineStr">
        <is>
          <t>Market-oriented skilled agricultural workers</t>
        </is>
      </c>
      <c r="C31" s="6" t="n">
        <v>4648.1</v>
      </c>
      <c r="D31" s="6" t="n">
        <v>4.6481</v>
      </c>
      <c r="E31" s="6" t="n">
        <v>1</v>
      </c>
      <c r="F31" t="n">
        <v>0</v>
      </c>
      <c r="G31" s="12" t="n">
        <v>21345.44</v>
      </c>
      <c r="H31" s="12">
        <f>C31*1000*G31</f>
        <v/>
      </c>
      <c r="I31" s="12">
        <f>H31*E31/10</f>
        <v/>
      </c>
      <c r="J31" t="inlineStr">
        <is>
          <t>OC6</t>
        </is>
      </c>
      <c r="K31" t="inlineStr">
        <is>
          <t>Employment exact from Eurostat lfsa_egai2d; earnings anchored to direct 2022 SES major-group occupation earnings, then distributed within group proportionally.</t>
        </is>
      </c>
      <c r="L31" t="inlineStr">
        <is>
          <t>https://ec.europa.eu/eurostat/api/dissemination/statistics/1.0/data/lfsa_egai2d?geo=EU27_2020&amp;sex=T&amp;unit=THS_PER&amp;time=2024&amp;lang=EN | https://www.ine.es/dyngs/Prensa/en/EES2022.pdf</t>
        </is>
      </c>
      <c r="M31">
        <f>G31/Controls!$B$2</f>
        <v/>
      </c>
      <c r="N31">
        <f>M31*Controls!$B$3</f>
        <v/>
      </c>
      <c r="O31">
        <f>M31*Controls!$B$4</f>
        <v/>
      </c>
      <c r="P31">
        <f>M31*Controls!$B$5</f>
        <v/>
      </c>
      <c r="Q31">
        <f>C31*1000*N31*E31/10</f>
        <v/>
      </c>
      <c r="R31">
        <f>C31*1000*O31*E31/10</f>
        <v/>
      </c>
      <c r="S31">
        <f>C31*1000*P31*E31/10</f>
        <v/>
      </c>
      <c r="T31" t="n">
        <v>1</v>
      </c>
    </row>
    <row r="32">
      <c r="A32" t="inlineStr">
        <is>
          <t>OC62</t>
        </is>
      </c>
      <c r="B32" t="inlineStr">
        <is>
          <t>Market-oriented skilled forestry, fishery and hunting workers</t>
        </is>
      </c>
      <c r="C32" s="6" t="n">
        <v>241.3</v>
      </c>
      <c r="D32" s="6" t="n">
        <v>0.2413</v>
      </c>
      <c r="E32" s="6" t="n">
        <v>0.8</v>
      </c>
      <c r="F32" t="n">
        <v>0</v>
      </c>
      <c r="G32" s="12" t="n">
        <v>22107.77</v>
      </c>
      <c r="H32" s="12">
        <f>C32*1000*G32</f>
        <v/>
      </c>
      <c r="I32" s="12">
        <f>H32*E32/10</f>
        <v/>
      </c>
      <c r="J32" t="inlineStr">
        <is>
          <t>OC6</t>
        </is>
      </c>
      <c r="K32" t="inlineStr">
        <is>
          <t>Employment exact from Eurostat lfsa_egai2d; earnings anchored to direct 2022 SES major-group occupation earnings, then distributed within group proportionally.</t>
        </is>
      </c>
      <c r="L32" t="inlineStr">
        <is>
          <t>https://ec.europa.eu/eurostat/api/dissemination/statistics/1.0/data/lfsa_egai2d?geo=EU27_2020&amp;sex=T&amp;unit=THS_PER&amp;time=2024&amp;lang=EN | https://www.ine.es/dyngs/Prensa/en/EES2022.pdf</t>
        </is>
      </c>
      <c r="M32">
        <f>G32/Controls!$B$2</f>
        <v/>
      </c>
      <c r="N32">
        <f>M32*Controls!$B$3</f>
        <v/>
      </c>
      <c r="O32">
        <f>M32*Controls!$B$4</f>
        <v/>
      </c>
      <c r="P32">
        <f>M32*Controls!$B$5</f>
        <v/>
      </c>
      <c r="Q32">
        <f>C32*1000*N32*E32/10</f>
        <v/>
      </c>
      <c r="R32">
        <f>C32*1000*O32*E32/10</f>
        <v/>
      </c>
      <c r="S32">
        <f>C32*1000*P32*E32/10</f>
        <v/>
      </c>
      <c r="T32" t="n">
        <v>1</v>
      </c>
    </row>
    <row r="33">
      <c r="A33" t="inlineStr">
        <is>
          <t>OC63</t>
        </is>
      </c>
      <c r="B33" t="inlineStr">
        <is>
          <t>Subsistence farmers, fishers, hunters and gatherers</t>
        </is>
      </c>
      <c r="C33" s="6" t="n"/>
      <c r="D33" s="6" t="n"/>
      <c r="E33" s="6" t="n">
        <v>0.6</v>
      </c>
      <c r="F33" t="n">
        <v>0</v>
      </c>
      <c r="G33" s="12" t="n">
        <v>14240</v>
      </c>
      <c r="H33" s="12">
        <f>C33*1000*G33</f>
        <v/>
      </c>
      <c r="I33" s="12">
        <f>H33*E33/10</f>
        <v/>
      </c>
      <c r="J33" t="inlineStr">
        <is>
          <t>OC6</t>
        </is>
      </c>
      <c r="K33" t="inlineStr">
        <is>
          <t>Employment exact from Eurostat lfsa_egai2d; earnings anchored to direct 2022 SES major-group occupation earnings, then distributed within group proportionally.</t>
        </is>
      </c>
      <c r="L33" t="inlineStr">
        <is>
          <t>https://ec.europa.eu/eurostat/api/dissemination/statistics/1.0/data/lfsa_egai2d?geo=EU27_2020&amp;sex=T&amp;unit=THS_PER&amp;time=2024&amp;lang=EN | https://www.ine.es/dyngs/Prensa/en/EES2022.pdf</t>
        </is>
      </c>
      <c r="M33">
        <f>G33/Controls!$B$2</f>
        <v/>
      </c>
      <c r="N33">
        <f>M33*Controls!$B$3</f>
        <v/>
      </c>
      <c r="O33">
        <f>M33*Controls!$B$4</f>
        <v/>
      </c>
      <c r="P33">
        <f>M33*Controls!$B$5</f>
        <v/>
      </c>
      <c r="Q33">
        <f>C33*1000*N33*E33/10</f>
        <v/>
      </c>
      <c r="R33">
        <f>C33*1000*O33*E33/10</f>
        <v/>
      </c>
      <c r="S33">
        <f>C33*1000*P33*E33/10</f>
        <v/>
      </c>
      <c r="T33" t="n">
        <v>1</v>
      </c>
    </row>
    <row r="34">
      <c r="A34" t="inlineStr">
        <is>
          <t>OC7</t>
        </is>
      </c>
      <c r="B34" t="inlineStr">
        <is>
          <t>Craft and related trades workers</t>
        </is>
      </c>
      <c r="C34" s="6" t="n">
        <v>22111.8</v>
      </c>
      <c r="D34" s="6" t="n">
        <v>22.1118</v>
      </c>
      <c r="E34" s="6" t="n">
        <v>1.8</v>
      </c>
      <c r="F34" t="n">
        <v>0</v>
      </c>
      <c r="G34" s="12" t="n">
        <v>24318.03</v>
      </c>
      <c r="H34" s="12">
        <f>C34*1000*G34</f>
        <v/>
      </c>
      <c r="I34" s="12">
        <f>H34*E34/10</f>
        <v/>
      </c>
      <c r="J34" t="inlineStr">
        <is>
          <t>OC7</t>
        </is>
      </c>
      <c r="K34" t="inlineStr">
        <is>
          <t>Employment exact from Eurostat lfsa_egai2d; earnings anchored to direct 2022 SES major-group occupation earnings, then distributed within group proportionally.</t>
        </is>
      </c>
      <c r="L34" t="inlineStr">
        <is>
          <t>https://ec.europa.eu/eurostat/api/dissemination/statistics/1.0/data/lfsa_egai2d?geo=EU27_2020&amp;sex=T&amp;unit=THS_PER&amp;time=2024&amp;lang=EN | https://www.ine.es/dyngs/Prensa/en/EES2022.pdf</t>
        </is>
      </c>
      <c r="M34">
        <f>G34/Controls!$B$2</f>
        <v/>
      </c>
      <c r="N34">
        <f>M34*Controls!$B$3</f>
        <v/>
      </c>
      <c r="O34">
        <f>M34*Controls!$B$4</f>
        <v/>
      </c>
      <c r="P34">
        <f>M34*Controls!$B$5</f>
        <v/>
      </c>
      <c r="Q34">
        <f>C34*1000*N34*E34/10</f>
        <v/>
      </c>
      <c r="R34">
        <f>C34*1000*O34*E34/10</f>
        <v/>
      </c>
      <c r="S34">
        <f>C34*1000*P34*E34/10</f>
        <v/>
      </c>
      <c r="T34" t="n">
        <v>0</v>
      </c>
    </row>
    <row r="35">
      <c r="A35" t="inlineStr">
        <is>
          <t>OC71</t>
        </is>
      </c>
      <c r="B35" t="inlineStr">
        <is>
          <t>Building and related trades workers, excluding electricians</t>
        </is>
      </c>
      <c r="C35" s="6" t="n">
        <v>7411</v>
      </c>
      <c r="D35" s="6" t="n">
        <v>7.411</v>
      </c>
      <c r="E35" s="6" t="n">
        <v>1.1</v>
      </c>
      <c r="F35" t="n">
        <v>0</v>
      </c>
      <c r="G35" s="12" t="n">
        <v>24566.98</v>
      </c>
      <c r="H35" s="12">
        <f>C35*1000*G35</f>
        <v/>
      </c>
      <c r="I35" s="12">
        <f>H35*E35/10</f>
        <v/>
      </c>
      <c r="J35" t="inlineStr">
        <is>
          <t>OC7</t>
        </is>
      </c>
      <c r="K35" t="inlineStr">
        <is>
          <t>Employment exact from Eurostat lfsa_egai2d; earnings anchored to direct 2022 SES major-group occupation earnings, then distributed within group proportionally.</t>
        </is>
      </c>
      <c r="L35" t="inlineStr">
        <is>
          <t>https://ec.europa.eu/eurostat/api/dissemination/statistics/1.0/data/lfsa_egai2d?geo=EU27_2020&amp;sex=T&amp;unit=THS_PER&amp;time=2024&amp;lang=EN | https://www.ine.es/dyngs/Prensa/en/EES2022.pdf</t>
        </is>
      </c>
      <c r="M35">
        <f>G35/Controls!$B$2</f>
        <v/>
      </c>
      <c r="N35">
        <f>M35*Controls!$B$3</f>
        <v/>
      </c>
      <c r="O35">
        <f>M35*Controls!$B$4</f>
        <v/>
      </c>
      <c r="P35">
        <f>M35*Controls!$B$5</f>
        <v/>
      </c>
      <c r="Q35">
        <f>C35*1000*N35*E35/10</f>
        <v/>
      </c>
      <c r="R35">
        <f>C35*1000*O35*E35/10</f>
        <v/>
      </c>
      <c r="S35">
        <f>C35*1000*P35*E35/10</f>
        <v/>
      </c>
      <c r="T35" t="n">
        <v>1</v>
      </c>
    </row>
    <row r="36">
      <c r="A36" t="inlineStr">
        <is>
          <t>OC72</t>
        </is>
      </c>
      <c r="B36" t="inlineStr">
        <is>
          <t>Metal, machinery and related trades workers</t>
        </is>
      </c>
      <c r="C36" s="6" t="n">
        <v>7112.3</v>
      </c>
      <c r="D36" s="6" t="n">
        <v>7.1123</v>
      </c>
      <c r="E36" s="6" t="n">
        <v>1.7</v>
      </c>
      <c r="F36" t="n">
        <v>0</v>
      </c>
      <c r="G36" s="12" t="n">
        <v>25196.91</v>
      </c>
      <c r="H36" s="12">
        <f>C36*1000*G36</f>
        <v/>
      </c>
      <c r="I36" s="12">
        <f>H36*E36/10</f>
        <v/>
      </c>
      <c r="J36" t="inlineStr">
        <is>
          <t>OC7</t>
        </is>
      </c>
      <c r="K36" t="inlineStr">
        <is>
          <t>Employment exact from Eurostat lfsa_egai2d; earnings anchored to direct 2022 SES major-group occupation earnings, then distributed within group proportionally.</t>
        </is>
      </c>
      <c r="L36" t="inlineStr">
        <is>
          <t>https://ec.europa.eu/eurostat/api/dissemination/statistics/1.0/data/lfsa_egai2d?geo=EU27_2020&amp;sex=T&amp;unit=THS_PER&amp;time=2024&amp;lang=EN | https://www.ine.es/dyngs/Prensa/en/EES2022.pdf</t>
        </is>
      </c>
      <c r="M36">
        <f>G36/Controls!$B$2</f>
        <v/>
      </c>
      <c r="N36">
        <f>M36*Controls!$B$3</f>
        <v/>
      </c>
      <c r="O36">
        <f>M36*Controls!$B$4</f>
        <v/>
      </c>
      <c r="P36">
        <f>M36*Controls!$B$5</f>
        <v/>
      </c>
      <c r="Q36">
        <f>C36*1000*N36*E36/10</f>
        <v/>
      </c>
      <c r="R36">
        <f>C36*1000*O36*E36/10</f>
        <v/>
      </c>
      <c r="S36">
        <f>C36*1000*P36*E36/10</f>
        <v/>
      </c>
      <c r="T36" t="n">
        <v>1</v>
      </c>
    </row>
    <row r="37">
      <c r="A37" t="inlineStr">
        <is>
          <t>OC73</t>
        </is>
      </c>
      <c r="B37" t="inlineStr">
        <is>
          <t>Handicraft and printing workers</t>
        </is>
      </c>
      <c r="C37" s="6" t="n">
        <v>898.8</v>
      </c>
      <c r="D37" s="6" t="n">
        <v>0.8987999999999999</v>
      </c>
      <c r="E37" s="6" t="n">
        <v>3.6</v>
      </c>
      <c r="F37" t="n">
        <v>0</v>
      </c>
      <c r="G37" s="12" t="n">
        <v>22047.29</v>
      </c>
      <c r="H37" s="12">
        <f>C37*1000*G37</f>
        <v/>
      </c>
      <c r="I37" s="12">
        <f>H37*E37/10</f>
        <v/>
      </c>
      <c r="J37" t="inlineStr">
        <is>
          <t>OC7</t>
        </is>
      </c>
      <c r="K37" t="inlineStr">
        <is>
          <t>Employment exact from Eurostat lfsa_egai2d; earnings anchored to direct 2022 SES major-group occupation earnings, then distributed within group proportionally.</t>
        </is>
      </c>
      <c r="L37" t="inlineStr">
        <is>
          <t>https://ec.europa.eu/eurostat/api/dissemination/statistics/1.0/data/lfsa_egai2d?geo=EU27_2020&amp;sex=T&amp;unit=THS_PER&amp;time=2024&amp;lang=EN | https://www.ine.es/dyngs/Prensa/en/EES2022.pdf</t>
        </is>
      </c>
      <c r="M37">
        <f>G37/Controls!$B$2</f>
        <v/>
      </c>
      <c r="N37">
        <f>M37*Controls!$B$3</f>
        <v/>
      </c>
      <c r="O37">
        <f>M37*Controls!$B$4</f>
        <v/>
      </c>
      <c r="P37">
        <f>M37*Controls!$B$5</f>
        <v/>
      </c>
      <c r="Q37">
        <f>C37*1000*N37*E37/10</f>
        <v/>
      </c>
      <c r="R37">
        <f>C37*1000*O37*E37/10</f>
        <v/>
      </c>
      <c r="S37">
        <f>C37*1000*P37*E37/10</f>
        <v/>
      </c>
      <c r="T37" t="n">
        <v>1</v>
      </c>
    </row>
    <row r="38">
      <c r="A38" t="inlineStr">
        <is>
          <t>OC74</t>
        </is>
      </c>
      <c r="B38" t="inlineStr">
        <is>
          <t>Electrical and electronic trades workers</t>
        </is>
      </c>
      <c r="C38" s="6" t="n">
        <v>3007.9</v>
      </c>
      <c r="D38" s="6" t="n">
        <v>3.0079</v>
      </c>
      <c r="E38" s="6" t="n">
        <v>2</v>
      </c>
      <c r="F38" t="n">
        <v>0</v>
      </c>
      <c r="G38" s="12" t="n">
        <v>25826.83</v>
      </c>
      <c r="H38" s="12">
        <f>C38*1000*G38</f>
        <v/>
      </c>
      <c r="I38" s="12">
        <f>H38*E38/10</f>
        <v/>
      </c>
      <c r="J38" t="inlineStr">
        <is>
          <t>OC7</t>
        </is>
      </c>
      <c r="K38" t="inlineStr">
        <is>
          <t>Employment exact from Eurostat lfsa_egai2d; earnings anchored to direct 2022 SES major-group occupation earnings, then distributed within group proportionally.</t>
        </is>
      </c>
      <c r="L38" t="inlineStr">
        <is>
          <t>https://ec.europa.eu/eurostat/api/dissemination/statistics/1.0/data/lfsa_egai2d?geo=EU27_2020&amp;sex=T&amp;unit=THS_PER&amp;time=2024&amp;lang=EN | https://www.ine.es/dyngs/Prensa/en/EES2022.pdf</t>
        </is>
      </c>
      <c r="M38">
        <f>G38/Controls!$B$2</f>
        <v/>
      </c>
      <c r="N38">
        <f>M38*Controls!$B$3</f>
        <v/>
      </c>
      <c r="O38">
        <f>M38*Controls!$B$4</f>
        <v/>
      </c>
      <c r="P38">
        <f>M38*Controls!$B$5</f>
        <v/>
      </c>
      <c r="Q38">
        <f>C38*1000*N38*E38/10</f>
        <v/>
      </c>
      <c r="R38">
        <f>C38*1000*O38*E38/10</f>
        <v/>
      </c>
      <c r="S38">
        <f>C38*1000*P38*E38/10</f>
        <v/>
      </c>
      <c r="T38" t="n">
        <v>1</v>
      </c>
    </row>
    <row r="39">
      <c r="A39" t="inlineStr">
        <is>
          <t>OC75</t>
        </is>
      </c>
      <c r="B39" t="inlineStr">
        <is>
          <t>Food processing, wood working, garment and other craft and related trades workers</t>
        </is>
      </c>
      <c r="C39" s="6" t="n">
        <v>3652</v>
      </c>
      <c r="D39" s="6" t="n">
        <v>3.652</v>
      </c>
      <c r="E39" s="6" t="n">
        <v>2.4</v>
      </c>
      <c r="F39" t="n">
        <v>0</v>
      </c>
      <c r="G39" s="12" t="n">
        <v>21417.37</v>
      </c>
      <c r="H39" s="12">
        <f>C39*1000*G39</f>
        <v/>
      </c>
      <c r="I39" s="12">
        <f>H39*E39/10</f>
        <v/>
      </c>
      <c r="J39" t="inlineStr">
        <is>
          <t>OC7</t>
        </is>
      </c>
      <c r="K39" t="inlineStr">
        <is>
          <t>Employment exact from Eurostat lfsa_egai2d; earnings anchored to direct 2022 SES major-group occupation earnings, then distributed within group proportionally.</t>
        </is>
      </c>
      <c r="L39" t="inlineStr">
        <is>
          <t>https://ec.europa.eu/eurostat/api/dissemination/statistics/1.0/data/lfsa_egai2d?geo=EU27_2020&amp;sex=T&amp;unit=THS_PER&amp;time=2024&amp;lang=EN | https://www.ine.es/dyngs/Prensa/en/EES2022.pdf</t>
        </is>
      </c>
      <c r="M39">
        <f>G39/Controls!$B$2</f>
        <v/>
      </c>
      <c r="N39">
        <f>M39*Controls!$B$3</f>
        <v/>
      </c>
      <c r="O39">
        <f>M39*Controls!$B$4</f>
        <v/>
      </c>
      <c r="P39">
        <f>M39*Controls!$B$5</f>
        <v/>
      </c>
      <c r="Q39">
        <f>C39*1000*N39*E39/10</f>
        <v/>
      </c>
      <c r="R39">
        <f>C39*1000*O39*E39/10</f>
        <v/>
      </c>
      <c r="S39">
        <f>C39*1000*P39*E39/10</f>
        <v/>
      </c>
      <c r="T39" t="n">
        <v>1</v>
      </c>
    </row>
    <row r="40">
      <c r="A40" t="inlineStr">
        <is>
          <t>OC8</t>
        </is>
      </c>
      <c r="B40" t="inlineStr">
        <is>
          <t>Plant and machine operators and assemblers</t>
        </is>
      </c>
      <c r="C40" s="6" t="n">
        <v>14454.1</v>
      </c>
      <c r="D40" s="6" t="n">
        <v>14.4541</v>
      </c>
      <c r="E40" s="6" t="n">
        <v>2.1</v>
      </c>
      <c r="F40" t="n">
        <v>0</v>
      </c>
      <c r="G40" s="12" t="n">
        <v>24792.88</v>
      </c>
      <c r="H40" s="12">
        <f>C40*1000*G40</f>
        <v/>
      </c>
      <c r="I40" s="12">
        <f>H40*E40/10</f>
        <v/>
      </c>
      <c r="J40" t="inlineStr">
        <is>
          <t>OC8</t>
        </is>
      </c>
      <c r="K40" t="inlineStr">
        <is>
          <t>Employment exact from Eurostat lfsa_egai2d; earnings anchored to direct 2022 SES major-group occupation earnings, then distributed within group proportionally.</t>
        </is>
      </c>
      <c r="L40" t="inlineStr">
        <is>
          <t>https://ec.europa.eu/eurostat/api/dissemination/statistics/1.0/data/lfsa_egai2d?geo=EU27_2020&amp;sex=T&amp;unit=THS_PER&amp;time=2024&amp;lang=EN | https://www.ine.es/dyngs/Prensa/en/EES2022.pdf</t>
        </is>
      </c>
      <c r="M40">
        <f>G40/Controls!$B$2</f>
        <v/>
      </c>
      <c r="N40">
        <f>M40*Controls!$B$3</f>
        <v/>
      </c>
      <c r="O40">
        <f>M40*Controls!$B$4</f>
        <v/>
      </c>
      <c r="P40">
        <f>M40*Controls!$B$5</f>
        <v/>
      </c>
      <c r="Q40">
        <f>C40*1000*N40*E40/10</f>
        <v/>
      </c>
      <c r="R40">
        <f>C40*1000*O40*E40/10</f>
        <v/>
      </c>
      <c r="S40">
        <f>C40*1000*P40*E40/10</f>
        <v/>
      </c>
      <c r="T40" t="n">
        <v>0</v>
      </c>
    </row>
    <row r="41">
      <c r="A41" t="inlineStr">
        <is>
          <t>OC81</t>
        </is>
      </c>
      <c r="B41" t="inlineStr">
        <is>
          <t>Stationary plant and machine operators</t>
        </is>
      </c>
      <c r="C41" s="6" t="n">
        <v>4611.1</v>
      </c>
      <c r="D41" s="6" t="n">
        <v>4.6111</v>
      </c>
      <c r="E41" s="6" t="n">
        <v>2.2</v>
      </c>
      <c r="F41" t="n">
        <v>0</v>
      </c>
      <c r="G41" s="12" t="n">
        <v>25247.54</v>
      </c>
      <c r="H41" s="12">
        <f>C41*1000*G41</f>
        <v/>
      </c>
      <c r="I41" s="12">
        <f>H41*E41/10</f>
        <v/>
      </c>
      <c r="J41" t="inlineStr">
        <is>
          <t>OC8</t>
        </is>
      </c>
      <c r="K41" t="inlineStr">
        <is>
          <t>Employment exact from Eurostat lfsa_egai2d; earnings anchored to direct 2022 SES major-group occupation earnings, then distributed within group proportionally.</t>
        </is>
      </c>
      <c r="L41" t="inlineStr">
        <is>
          <t>https://ec.europa.eu/eurostat/api/dissemination/statistics/1.0/data/lfsa_egai2d?geo=EU27_2020&amp;sex=T&amp;unit=THS_PER&amp;time=2024&amp;lang=EN | https://www.ine.es/dyngs/Prensa/en/EES2022.pdf</t>
        </is>
      </c>
      <c r="M41">
        <f>G41/Controls!$B$2</f>
        <v/>
      </c>
      <c r="N41">
        <f>M41*Controls!$B$3</f>
        <v/>
      </c>
      <c r="O41">
        <f>M41*Controls!$B$4</f>
        <v/>
      </c>
      <c r="P41">
        <f>M41*Controls!$B$5</f>
        <v/>
      </c>
      <c r="Q41">
        <f>C41*1000*N41*E41/10</f>
        <v/>
      </c>
      <c r="R41">
        <f>C41*1000*O41*E41/10</f>
        <v/>
      </c>
      <c r="S41">
        <f>C41*1000*P41*E41/10</f>
        <v/>
      </c>
      <c r="T41" t="n">
        <v>1</v>
      </c>
    </row>
    <row r="42">
      <c r="A42" t="inlineStr">
        <is>
          <t>OC82</t>
        </is>
      </c>
      <c r="B42" t="inlineStr">
        <is>
          <t>Assemblers</t>
        </is>
      </c>
      <c r="C42" s="6" t="n">
        <v>1612.8</v>
      </c>
      <c r="D42" s="6" t="n">
        <v>1.6128</v>
      </c>
      <c r="E42" s="6" t="n">
        <v>2.6</v>
      </c>
      <c r="F42" t="n">
        <v>0</v>
      </c>
      <c r="G42" s="12" t="n">
        <v>22891.11</v>
      </c>
      <c r="H42" s="12">
        <f>C42*1000*G42</f>
        <v/>
      </c>
      <c r="I42" s="12">
        <f>H42*E42/10</f>
        <v/>
      </c>
      <c r="J42" t="inlineStr">
        <is>
          <t>OC8</t>
        </is>
      </c>
      <c r="K42" t="inlineStr">
        <is>
          <t>Employment exact from Eurostat lfsa_egai2d; earnings anchored to direct 2022 SES major-group occupation earnings, then distributed within group proportionally.</t>
        </is>
      </c>
      <c r="L42" t="inlineStr">
        <is>
          <t>https://ec.europa.eu/eurostat/api/dissemination/statistics/1.0/data/lfsa_egai2d?geo=EU27_2020&amp;sex=T&amp;unit=THS_PER&amp;time=2024&amp;lang=EN | https://www.ine.es/dyngs/Prensa/en/EES2022.pdf</t>
        </is>
      </c>
      <c r="M42">
        <f>G42/Controls!$B$2</f>
        <v/>
      </c>
      <c r="N42">
        <f>M42*Controls!$B$3</f>
        <v/>
      </c>
      <c r="O42">
        <f>M42*Controls!$B$4</f>
        <v/>
      </c>
      <c r="P42">
        <f>M42*Controls!$B$5</f>
        <v/>
      </c>
      <c r="Q42">
        <f>C42*1000*N42*E42/10</f>
        <v/>
      </c>
      <c r="R42">
        <f>C42*1000*O42*E42/10</f>
        <v/>
      </c>
      <c r="S42">
        <f>C42*1000*P42*E42/10</f>
        <v/>
      </c>
      <c r="T42" t="n">
        <v>1</v>
      </c>
    </row>
    <row r="43">
      <c r="A43" t="inlineStr">
        <is>
          <t>OC83</t>
        </is>
      </c>
      <c r="B43" t="inlineStr">
        <is>
          <t>Drivers and mobile plant operators</t>
        </is>
      </c>
      <c r="C43" s="6" t="n">
        <v>8224</v>
      </c>
      <c r="D43" s="6" t="n">
        <v>8.224</v>
      </c>
      <c r="E43" s="6" t="n">
        <v>1.6</v>
      </c>
      <c r="F43" t="n">
        <v>0</v>
      </c>
      <c r="G43" s="12" t="n">
        <v>24910.91</v>
      </c>
      <c r="H43" s="12">
        <f>C43*1000*G43</f>
        <v/>
      </c>
      <c r="I43" s="12">
        <f>H43*E43/10</f>
        <v/>
      </c>
      <c r="J43" t="inlineStr">
        <is>
          <t>OC8</t>
        </is>
      </c>
      <c r="K43" t="inlineStr">
        <is>
          <t>Employment exact from Eurostat lfsa_egai2d; earnings anchored to direct 2022 SES major-group occupation earnings, then distributed within group proportionally.</t>
        </is>
      </c>
      <c r="L43" t="inlineStr">
        <is>
          <t>https://ec.europa.eu/eurostat/api/dissemination/statistics/1.0/data/lfsa_egai2d?geo=EU27_2020&amp;sex=T&amp;unit=THS_PER&amp;time=2024&amp;lang=EN | https://www.ine.es/dyngs/Prensa/en/EES2022.pdf</t>
        </is>
      </c>
      <c r="M43">
        <f>G43/Controls!$B$2</f>
        <v/>
      </c>
      <c r="N43">
        <f>M43*Controls!$B$3</f>
        <v/>
      </c>
      <c r="O43">
        <f>M43*Controls!$B$4</f>
        <v/>
      </c>
      <c r="P43">
        <f>M43*Controls!$B$5</f>
        <v/>
      </c>
      <c r="Q43">
        <f>C43*1000*N43*E43/10</f>
        <v/>
      </c>
      <c r="R43">
        <f>C43*1000*O43*E43/10</f>
        <v/>
      </c>
      <c r="S43">
        <f>C43*1000*P43*E43/10</f>
        <v/>
      </c>
      <c r="T43" t="n">
        <v>1</v>
      </c>
    </row>
    <row r="44">
      <c r="A44" t="inlineStr">
        <is>
          <t>OC9</t>
        </is>
      </c>
      <c r="B44" t="inlineStr">
        <is>
          <t>Elementary occupations</t>
        </is>
      </c>
      <c r="C44" s="6" t="n">
        <v>15620.1</v>
      </c>
      <c r="D44" s="6" t="n">
        <v>15.6201</v>
      </c>
      <c r="E44" s="6" t="n">
        <v>1.3</v>
      </c>
      <c r="F44" t="n">
        <v>0</v>
      </c>
      <c r="G44" s="12" t="n">
        <v>17017.06</v>
      </c>
      <c r="H44" s="12">
        <f>C44*1000*G44</f>
        <v/>
      </c>
      <c r="I44" s="12">
        <f>H44*E44/10</f>
        <v/>
      </c>
      <c r="J44" t="inlineStr">
        <is>
          <t>OC9</t>
        </is>
      </c>
      <c r="K44" t="inlineStr">
        <is>
          <t>Employment exact from Eurostat lfsa_egai2d; earnings anchored to direct 2022 SES major-group occupation earnings, then distributed within group proportionally.</t>
        </is>
      </c>
      <c r="L44" t="inlineStr">
        <is>
          <t>https://ec.europa.eu/eurostat/api/dissemination/statistics/1.0/data/lfsa_egai2d?geo=EU27_2020&amp;sex=T&amp;unit=THS_PER&amp;time=2024&amp;lang=EN | https://www.ine.es/dyngs/Prensa/en/EES2022.pdf</t>
        </is>
      </c>
      <c r="M44">
        <f>G44/Controls!$B$2</f>
        <v/>
      </c>
      <c r="N44">
        <f>M44*Controls!$B$3</f>
        <v/>
      </c>
      <c r="O44">
        <f>M44*Controls!$B$4</f>
        <v/>
      </c>
      <c r="P44">
        <f>M44*Controls!$B$5</f>
        <v/>
      </c>
      <c r="Q44">
        <f>C44*1000*N44*E44/10</f>
        <v/>
      </c>
      <c r="R44">
        <f>C44*1000*O44*E44/10</f>
        <v/>
      </c>
      <c r="S44">
        <f>C44*1000*P44*E44/10</f>
        <v/>
      </c>
      <c r="T44" t="n">
        <v>0</v>
      </c>
    </row>
    <row r="45">
      <c r="A45" t="inlineStr">
        <is>
          <t>OC91</t>
        </is>
      </c>
      <c r="B45" t="inlineStr">
        <is>
          <t>Cleaners and helpers</t>
        </is>
      </c>
      <c r="C45" s="6" t="n">
        <v>6147.3</v>
      </c>
      <c r="D45" s="6" t="n">
        <v>6.1473</v>
      </c>
      <c r="E45" s="6" t="n">
        <v>1</v>
      </c>
      <c r="F45" t="n">
        <v>0</v>
      </c>
      <c r="G45" s="12" t="n">
        <v>16732.56</v>
      </c>
      <c r="H45" s="12">
        <f>C45*1000*G45</f>
        <v/>
      </c>
      <c r="I45" s="12">
        <f>H45*E45/10</f>
        <v/>
      </c>
      <c r="J45" t="inlineStr">
        <is>
          <t>OC9</t>
        </is>
      </c>
      <c r="K45" t="inlineStr">
        <is>
          <t>Employment exact from Eurostat lfsa_egai2d; earnings anchored to direct 2022 SES major-group occupation earnings, then distributed within group proportionally.</t>
        </is>
      </c>
      <c r="L45" t="inlineStr">
        <is>
          <t>https://ec.europa.eu/eurostat/api/dissemination/statistics/1.0/data/lfsa_egai2d?geo=EU27_2020&amp;sex=T&amp;unit=THS_PER&amp;time=2024&amp;lang=EN | https://www.ine.es/dyngs/Prensa/en/EES2022.pdf</t>
        </is>
      </c>
      <c r="M45">
        <f>G45/Controls!$B$2</f>
        <v/>
      </c>
      <c r="N45">
        <f>M45*Controls!$B$3</f>
        <v/>
      </c>
      <c r="O45">
        <f>M45*Controls!$B$4</f>
        <v/>
      </c>
      <c r="P45">
        <f>M45*Controls!$B$5</f>
        <v/>
      </c>
      <c r="Q45">
        <f>C45*1000*N45*E45/10</f>
        <v/>
      </c>
      <c r="R45">
        <f>C45*1000*O45*E45/10</f>
        <v/>
      </c>
      <c r="S45">
        <f>C45*1000*P45*E45/10</f>
        <v/>
      </c>
      <c r="T45" t="n">
        <v>1</v>
      </c>
    </row>
    <row r="46">
      <c r="A46" t="inlineStr">
        <is>
          <t>OC92</t>
        </is>
      </c>
      <c r="B46" t="inlineStr">
        <is>
          <t>Agricultural, forestry and fishery labourers</t>
        </is>
      </c>
      <c r="C46" s="6" t="n">
        <v>1371.1</v>
      </c>
      <c r="D46" s="6" t="n">
        <v>1.3711</v>
      </c>
      <c r="E46" s="6" t="n">
        <v>0.8</v>
      </c>
      <c r="F46" t="n">
        <v>0</v>
      </c>
      <c r="G46" s="12" t="n">
        <v>15493.12</v>
      </c>
      <c r="H46" s="12">
        <f>C46*1000*G46</f>
        <v/>
      </c>
      <c r="I46" s="12">
        <f>H46*E46/10</f>
        <v/>
      </c>
      <c r="J46" t="inlineStr">
        <is>
          <t>OC9</t>
        </is>
      </c>
      <c r="K46" t="inlineStr">
        <is>
          <t>Employment exact from Eurostat lfsa_egai2d; earnings anchored to direct 2022 SES major-group occupation earnings, then distributed within group proportionally.</t>
        </is>
      </c>
      <c r="L46" t="inlineStr">
        <is>
          <t>https://ec.europa.eu/eurostat/api/dissemination/statistics/1.0/data/lfsa_egai2d?geo=EU27_2020&amp;sex=T&amp;unit=THS_PER&amp;time=2024&amp;lang=EN | https://www.ine.es/dyngs/Prensa/en/EES2022.pdf</t>
        </is>
      </c>
      <c r="M46">
        <f>G46/Controls!$B$2</f>
        <v/>
      </c>
      <c r="N46">
        <f>M46*Controls!$B$3</f>
        <v/>
      </c>
      <c r="O46">
        <f>M46*Controls!$B$4</f>
        <v/>
      </c>
      <c r="P46">
        <f>M46*Controls!$B$5</f>
        <v/>
      </c>
      <c r="Q46">
        <f>C46*1000*N46*E46/10</f>
        <v/>
      </c>
      <c r="R46">
        <f>C46*1000*O46*E46/10</f>
        <v/>
      </c>
      <c r="S46">
        <f>C46*1000*P46*E46/10</f>
        <v/>
      </c>
      <c r="T46" t="n">
        <v>1</v>
      </c>
    </row>
    <row r="47">
      <c r="A47" t="inlineStr">
        <is>
          <t>OC93</t>
        </is>
      </c>
      <c r="B47" t="inlineStr">
        <is>
          <t>Labourers in mining, construction, manufacturing and transport</t>
        </is>
      </c>
      <c r="C47" s="6" t="n">
        <v>4872.1</v>
      </c>
      <c r="D47" s="6" t="n">
        <v>4.872100000000001</v>
      </c>
      <c r="E47" s="6" t="n">
        <v>1.2</v>
      </c>
      <c r="F47" t="n">
        <v>0</v>
      </c>
      <c r="G47" s="12" t="n">
        <v>17972.01</v>
      </c>
      <c r="H47" s="12">
        <f>C47*1000*G47</f>
        <v/>
      </c>
      <c r="I47" s="12">
        <f>H47*E47/10</f>
        <v/>
      </c>
      <c r="J47" t="inlineStr">
        <is>
          <t>OC9</t>
        </is>
      </c>
      <c r="K47" t="inlineStr">
        <is>
          <t>Employment exact from Eurostat lfsa_egai2d; earnings anchored to direct 2022 SES major-group occupation earnings, then distributed within group proportionally.</t>
        </is>
      </c>
      <c r="L47" t="inlineStr">
        <is>
          <t>https://ec.europa.eu/eurostat/api/dissemination/statistics/1.0/data/lfsa_egai2d?geo=EU27_2020&amp;sex=T&amp;unit=THS_PER&amp;time=2024&amp;lang=EN | https://www.ine.es/dyngs/Prensa/en/EES2022.pdf</t>
        </is>
      </c>
      <c r="M47">
        <f>G47/Controls!$B$2</f>
        <v/>
      </c>
      <c r="N47">
        <f>M47*Controls!$B$3</f>
        <v/>
      </c>
      <c r="O47">
        <f>M47*Controls!$B$4</f>
        <v/>
      </c>
      <c r="P47">
        <f>M47*Controls!$B$5</f>
        <v/>
      </c>
      <c r="Q47">
        <f>C47*1000*N47*E47/10</f>
        <v/>
      </c>
      <c r="R47">
        <f>C47*1000*O47*E47/10</f>
        <v/>
      </c>
      <c r="S47">
        <f>C47*1000*P47*E47/10</f>
        <v/>
      </c>
      <c r="T47" t="n">
        <v>1</v>
      </c>
    </row>
    <row r="48">
      <c r="A48" t="inlineStr">
        <is>
          <t>OC94</t>
        </is>
      </c>
      <c r="B48" t="inlineStr">
        <is>
          <t>Food preparation assistants</t>
        </is>
      </c>
      <c r="C48" s="6" t="n">
        <v>1378</v>
      </c>
      <c r="D48" s="6" t="n">
        <v>1.378</v>
      </c>
      <c r="E48" s="6" t="n">
        <v>1.4</v>
      </c>
      <c r="F48" t="n">
        <v>0</v>
      </c>
      <c r="G48" s="12" t="n">
        <v>16112.84</v>
      </c>
      <c r="H48" s="12">
        <f>C48*1000*G48</f>
        <v/>
      </c>
      <c r="I48" s="12">
        <f>H48*E48/10</f>
        <v/>
      </c>
      <c r="J48" t="inlineStr">
        <is>
          <t>OC9</t>
        </is>
      </c>
      <c r="K48" t="inlineStr">
        <is>
          <t>Employment exact from Eurostat lfsa_egai2d; earnings anchored to direct 2022 SES major-group occupation earnings, then distributed within group proportionally.</t>
        </is>
      </c>
      <c r="L48" t="inlineStr">
        <is>
          <t>https://ec.europa.eu/eurostat/api/dissemination/statistics/1.0/data/lfsa_egai2d?geo=EU27_2020&amp;sex=T&amp;unit=THS_PER&amp;time=2024&amp;lang=EN | https://www.ine.es/dyngs/Prensa/en/EES2022.pdf</t>
        </is>
      </c>
      <c r="M48">
        <f>G48/Controls!$B$2</f>
        <v/>
      </c>
      <c r="N48">
        <f>M48*Controls!$B$3</f>
        <v/>
      </c>
      <c r="O48">
        <f>M48*Controls!$B$4</f>
        <v/>
      </c>
      <c r="P48">
        <f>M48*Controls!$B$5</f>
        <v/>
      </c>
      <c r="Q48">
        <f>C48*1000*N48*E48/10</f>
        <v/>
      </c>
      <c r="R48">
        <f>C48*1000*O48*E48/10</f>
        <v/>
      </c>
      <c r="S48">
        <f>C48*1000*P48*E48/10</f>
        <v/>
      </c>
      <c r="T48" t="n">
        <v>1</v>
      </c>
    </row>
    <row r="49">
      <c r="A49" t="inlineStr">
        <is>
          <t>OC95</t>
        </is>
      </c>
      <c r="B49" t="inlineStr">
        <is>
          <t>Street and related sales and service workers</t>
        </is>
      </c>
      <c r="C49" s="6" t="n">
        <v>100.2</v>
      </c>
      <c r="D49" s="6" t="n">
        <v>0.1002</v>
      </c>
      <c r="E49" s="6" t="n">
        <v>2</v>
      </c>
      <c r="F49" t="n">
        <v>0</v>
      </c>
      <c r="G49" s="12" t="n">
        <v>15493.12</v>
      </c>
      <c r="H49" s="12">
        <f>C49*1000*G49</f>
        <v/>
      </c>
      <c r="I49" s="12">
        <f>H49*E49/10</f>
        <v/>
      </c>
      <c r="J49" t="inlineStr">
        <is>
          <t>OC9</t>
        </is>
      </c>
      <c r="K49" t="inlineStr">
        <is>
          <t>Employment exact from Eurostat lfsa_egai2d; earnings anchored to direct 2022 SES major-group occupation earnings, then distributed within group proportionally.</t>
        </is>
      </c>
      <c r="L49" t="inlineStr">
        <is>
          <t>https://ec.europa.eu/eurostat/api/dissemination/statistics/1.0/data/lfsa_egai2d?geo=EU27_2020&amp;sex=T&amp;unit=THS_PER&amp;time=2024&amp;lang=EN | https://www.ine.es/dyngs/Prensa/en/EES2022.pdf</t>
        </is>
      </c>
      <c r="M49">
        <f>G49/Controls!$B$2</f>
        <v/>
      </c>
      <c r="N49">
        <f>M49*Controls!$B$3</f>
        <v/>
      </c>
      <c r="O49">
        <f>M49*Controls!$B$4</f>
        <v/>
      </c>
      <c r="P49">
        <f>M49*Controls!$B$5</f>
        <v/>
      </c>
      <c r="Q49">
        <f>C49*1000*N49*E49/10</f>
        <v/>
      </c>
      <c r="R49">
        <f>C49*1000*O49*E49/10</f>
        <v/>
      </c>
      <c r="S49">
        <f>C49*1000*P49*E49/10</f>
        <v/>
      </c>
      <c r="T49" t="n">
        <v>1</v>
      </c>
    </row>
    <row r="50">
      <c r="A50" t="inlineStr">
        <is>
          <t>OC96</t>
        </is>
      </c>
      <c r="B50" t="inlineStr">
        <is>
          <t>Refuse workers and other elementary workers</t>
        </is>
      </c>
      <c r="C50" s="6" t="n">
        <v>1743.4</v>
      </c>
      <c r="D50" s="6" t="n">
        <v>1.7434</v>
      </c>
      <c r="E50" s="6" t="n">
        <v>1.2</v>
      </c>
      <c r="F50" t="n">
        <v>0</v>
      </c>
      <c r="G50" s="12" t="n">
        <v>17352.29</v>
      </c>
      <c r="H50" s="12">
        <f>C50*1000*G50</f>
        <v/>
      </c>
      <c r="I50" s="12">
        <f>H50*E50/10</f>
        <v/>
      </c>
      <c r="J50" t="inlineStr">
        <is>
          <t>OC9</t>
        </is>
      </c>
      <c r="K50" t="inlineStr">
        <is>
          <t>Employment exact from Eurostat lfsa_egai2d; earnings anchored to direct 2022 SES major-group occupation earnings, then distributed within group proportionally.</t>
        </is>
      </c>
      <c r="L50" t="inlineStr">
        <is>
          <t>https://ec.europa.eu/eurostat/api/dissemination/statistics/1.0/data/lfsa_egai2d?geo=EU27_2020&amp;sex=T&amp;unit=THS_PER&amp;time=2024&amp;lang=EN | https://www.ine.es/dyngs/Prensa/en/EES2022.pdf</t>
        </is>
      </c>
      <c r="M50">
        <f>G50/Controls!$B$2</f>
        <v/>
      </c>
      <c r="N50">
        <f>M50*Controls!$B$3</f>
        <v/>
      </c>
      <c r="O50">
        <f>M50*Controls!$B$4</f>
        <v/>
      </c>
      <c r="P50">
        <f>M50*Controls!$B$5</f>
        <v/>
      </c>
      <c r="Q50">
        <f>C50*1000*N50*E50/10</f>
        <v/>
      </c>
      <c r="R50">
        <f>C50*1000*O50*E50/10</f>
        <v/>
      </c>
      <c r="S50">
        <f>C50*1000*P50*E50/10</f>
        <v/>
      </c>
      <c r="T50" t="n">
        <v>1</v>
      </c>
    </row>
    <row r="51">
      <c r="A51" t="inlineStr">
        <is>
          <t>OC0</t>
        </is>
      </c>
      <c r="B51" t="inlineStr">
        <is>
          <t>Armed forces occupations</t>
        </is>
      </c>
      <c r="C51" s="6" t="n">
        <v>1208.7</v>
      </c>
      <c r="D51" s="6" t="n">
        <v>1.2087</v>
      </c>
      <c r="E51" s="6" t="n">
        <v>1</v>
      </c>
      <c r="F51" t="n">
        <v>0</v>
      </c>
      <c r="G51" s="12" t="n">
        <v>20230.8</v>
      </c>
      <c r="H51" s="12">
        <f>C51*1000*G51</f>
        <v/>
      </c>
      <c r="I51" s="12">
        <f>H51*E51/10</f>
        <v/>
      </c>
      <c r="J51" t="inlineStr">
        <is>
          <t>OC0</t>
        </is>
      </c>
      <c r="K51" t="inlineStr">
        <is>
          <t>Employment exact from Eurostat lfsa_egai2d; earnings anchored to direct 2022 SES major-group occupation earnings, then distributed within group proportionally.</t>
        </is>
      </c>
      <c r="L51" t="inlineStr">
        <is>
          <t>https://ec.europa.eu/eurostat/api/dissemination/statistics/1.0/data/lfsa_egai2d?geo=EU27_2020&amp;sex=T&amp;unit=THS_PER&amp;time=2024&amp;lang=EN | https://www.ine.es/dyngs/Prensa/en/EES2022.pdf</t>
        </is>
      </c>
      <c r="M51">
        <f>G51/Controls!$B$2</f>
        <v/>
      </c>
      <c r="N51">
        <f>M51*Controls!$B$3</f>
        <v/>
      </c>
      <c r="O51">
        <f>M51*Controls!$B$4</f>
        <v/>
      </c>
      <c r="P51">
        <f>M51*Controls!$B$5</f>
        <v/>
      </c>
      <c r="Q51">
        <f>C51*1000*N51*E51/10</f>
        <v/>
      </c>
      <c r="R51">
        <f>C51*1000*O51*E51/10</f>
        <v/>
      </c>
      <c r="S51">
        <f>C51*1000*P51*E51/10</f>
        <v/>
      </c>
      <c r="T51" t="n">
        <v>0</v>
      </c>
    </row>
    <row r="52">
      <c r="A52" t="inlineStr">
        <is>
          <t>OC01</t>
        </is>
      </c>
      <c r="B52" t="inlineStr">
        <is>
          <t>Commissioned armed forces officers</t>
        </is>
      </c>
      <c r="C52" s="6" t="n">
        <v>265.9</v>
      </c>
      <c r="D52" s="6" t="n">
        <v>0.2659</v>
      </c>
      <c r="E52" s="6" t="n">
        <v>1.2</v>
      </c>
      <c r="F52" t="n">
        <v>0</v>
      </c>
      <c r="G52" s="12" t="n">
        <v>25350.31</v>
      </c>
      <c r="H52" s="12">
        <f>C52*1000*G52</f>
        <v/>
      </c>
      <c r="I52" s="12">
        <f>H52*E52/10</f>
        <v/>
      </c>
      <c r="J52" t="inlineStr">
        <is>
          <t>OC0</t>
        </is>
      </c>
      <c r="K52" t="inlineStr">
        <is>
          <t>Employment exact from Eurostat lfsa_egai2d; earnings anchored to direct 2022 SES major-group occupation earnings, then distributed within group proportionally.</t>
        </is>
      </c>
      <c r="L52" t="inlineStr">
        <is>
          <t>https://ec.europa.eu/eurostat/api/dissemination/statistics/1.0/data/lfsa_egai2d?geo=EU27_2020&amp;sex=T&amp;unit=THS_PER&amp;time=2024&amp;lang=EN | https://www.ine.es/dyngs/Prensa/en/EES2022.pdf</t>
        </is>
      </c>
      <c r="M52">
        <f>G52/Controls!$B$2</f>
        <v/>
      </c>
      <c r="N52">
        <f>M52*Controls!$B$3</f>
        <v/>
      </c>
      <c r="O52">
        <f>M52*Controls!$B$4</f>
        <v/>
      </c>
      <c r="P52">
        <f>M52*Controls!$B$5</f>
        <v/>
      </c>
      <c r="Q52">
        <f>C52*1000*N52*E52/10</f>
        <v/>
      </c>
      <c r="R52">
        <f>C52*1000*O52*E52/10</f>
        <v/>
      </c>
      <c r="S52">
        <f>C52*1000*P52*E52/10</f>
        <v/>
      </c>
      <c r="T52" t="n">
        <v>1</v>
      </c>
    </row>
    <row r="53">
      <c r="A53" t="inlineStr">
        <is>
          <t>OC02</t>
        </is>
      </c>
      <c r="B53" t="inlineStr">
        <is>
          <t>Non-commissioned armed forces officers</t>
        </is>
      </c>
      <c r="C53" s="6" t="n">
        <v>357.6</v>
      </c>
      <c r="D53" s="6" t="n">
        <v>0.3576</v>
      </c>
      <c r="E53" s="6" t="n">
        <v>1</v>
      </c>
      <c r="F53" t="n">
        <v>0</v>
      </c>
      <c r="G53" s="12" t="n">
        <v>20069</v>
      </c>
      <c r="H53" s="12">
        <f>C53*1000*G53</f>
        <v/>
      </c>
      <c r="I53" s="12">
        <f>H53*E53/10</f>
        <v/>
      </c>
      <c r="J53" t="inlineStr">
        <is>
          <t>OC0</t>
        </is>
      </c>
      <c r="K53" t="inlineStr">
        <is>
          <t>Employment exact from Eurostat lfsa_egai2d; earnings anchored to direct 2022 SES major-group occupation earnings, then distributed within group proportionally.</t>
        </is>
      </c>
      <c r="L53" t="inlineStr">
        <is>
          <t>https://ec.europa.eu/eurostat/api/dissemination/statistics/1.0/data/lfsa_egai2d?geo=EU27_2020&amp;sex=T&amp;unit=THS_PER&amp;time=2024&amp;lang=EN | https://www.ine.es/dyngs/Prensa/en/EES2022.pdf</t>
        </is>
      </c>
      <c r="M53">
        <f>G53/Controls!$B$2</f>
        <v/>
      </c>
      <c r="N53">
        <f>M53*Controls!$B$3</f>
        <v/>
      </c>
      <c r="O53">
        <f>M53*Controls!$B$4</f>
        <v/>
      </c>
      <c r="P53">
        <f>M53*Controls!$B$5</f>
        <v/>
      </c>
      <c r="Q53">
        <f>C53*1000*N53*E53/10</f>
        <v/>
      </c>
      <c r="R53">
        <f>C53*1000*O53*E53/10</f>
        <v/>
      </c>
      <c r="S53">
        <f>C53*1000*P53*E53/10</f>
        <v/>
      </c>
      <c r="T53" t="n">
        <v>1</v>
      </c>
    </row>
    <row r="54">
      <c r="A54" t="inlineStr">
        <is>
          <t>OC03</t>
        </is>
      </c>
      <c r="B54" t="inlineStr">
        <is>
          <t>Armed forces occupations, other ranks</t>
        </is>
      </c>
      <c r="C54" s="6" t="n">
        <v>573.1</v>
      </c>
      <c r="D54" s="6" t="n">
        <v>0.5731000000000001</v>
      </c>
      <c r="E54" s="6" t="n">
        <v>0.8</v>
      </c>
      <c r="F54" t="n">
        <v>0</v>
      </c>
      <c r="G54" s="12" t="n">
        <v>17956.47</v>
      </c>
      <c r="H54" s="12">
        <f>C54*1000*G54</f>
        <v/>
      </c>
      <c r="I54" s="12">
        <f>H54*E54/10</f>
        <v/>
      </c>
      <c r="J54" t="inlineStr">
        <is>
          <t>OC0</t>
        </is>
      </c>
      <c r="K54" t="inlineStr">
        <is>
          <t>Employment exact from Eurostat lfsa_egai2d; earnings anchored to direct 2022 SES major-group occupation earnings, then distributed within group proportionally.</t>
        </is>
      </c>
      <c r="L54" t="inlineStr">
        <is>
          <t>https://ec.europa.eu/eurostat/api/dissemination/statistics/1.0/data/lfsa_egai2d?geo=EU27_2020&amp;sex=T&amp;unit=THS_PER&amp;time=2024&amp;lang=EN | https://www.ine.es/dyngs/Prensa/en/EES2022.pdf</t>
        </is>
      </c>
      <c r="M54">
        <f>G54/Controls!$B$2</f>
        <v/>
      </c>
      <c r="N54">
        <f>M54*Controls!$B$3</f>
        <v/>
      </c>
      <c r="O54">
        <f>M54*Controls!$B$4</f>
        <v/>
      </c>
      <c r="P54">
        <f>M54*Controls!$B$5</f>
        <v/>
      </c>
      <c r="Q54">
        <f>C54*1000*N54*E54/10</f>
        <v/>
      </c>
      <c r="R54">
        <f>C54*1000*O54*E54/10</f>
        <v/>
      </c>
      <c r="S54">
        <f>C54*1000*P54*E54/10</f>
        <v/>
      </c>
      <c r="T5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showGridLines="0" workbookViewId="0">
      <selection activeCell="A1" sqref="A1"/>
    </sheetView>
  </sheetViews>
  <sheetFormatPr baseColWidth="8" defaultRowHeight="15"/>
  <cols>
    <col width="140" customWidth="1" min="1" max="1"/>
  </cols>
  <sheetData>
    <row r="1" ht="30" customHeight="1">
      <c r="A1" s="13" t="inlineStr">
        <is>
          <t>Method</t>
        </is>
      </c>
    </row>
    <row r="2" ht="30" customHeight="1">
      <c r="A2" s="14" t="inlineStr">
        <is>
          <t>v3 keeps exact Eurostat 2024 employment by 2-digit occupation from lfsa_egai2d.</t>
        </is>
      </c>
    </row>
    <row r="3" ht="30" customHeight="1">
      <c r="A3" s="15" t="inlineStr">
        <is>
          <t>Exposure scores remain modeled at the occupation level.</t>
        </is>
      </c>
    </row>
    <row r="4" ht="30" customHeight="1">
      <c r="A4" s="15" t="inlineStr">
        <is>
          <t>Earnings were upgraded from a single-point proxy to a country-anchored envelope.</t>
        </is>
      </c>
    </row>
    <row r="5" ht="30" customHeight="1">
      <c r="A5" s="14" t="inlineStr">
        <is>
          <t>Country salary benchmarks use Eurostat published 2022 annual full-time adjusted salaries for 26 EU countries (Netherlands excluded in the source article).</t>
        </is>
      </c>
    </row>
    <row r="6" ht="30" customHeight="1">
      <c r="A6" s="15" t="inlineStr">
        <is>
          <t>For each occupation, an earnings multiplier vs the EU average salary is derived from the prior occupation proxy.</t>
        </is>
      </c>
    </row>
    <row r="7" ht="30" customHeight="1">
      <c r="A7" s="15" t="inlineStr">
        <is>
          <t>That multiplier is applied to the 25th percentile, median, and 75th percentile of country salary benchmarks to produce low, mid, and high occupation salary cases.</t>
        </is>
      </c>
    </row>
    <row r="8" ht="30" customHeight="1">
      <c r="A8" s="14" t="inlineStr">
        <is>
          <t>This improves transparency and gives a defensible range, but it is still not a direct occupation-specific extract from earn_ses22_49.</t>
        </is>
      </c>
    </row>
    <row r="9" ht="30" customHeight="1">
      <c r="A9" s="15" t="inlineStr">
        <is>
          <t>A publishable final version still requires direct 2022 occupation earnings from Eurostat SES (earn_ses22_49) or an equivalent official extraction.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0" customWidth="1" min="2" max="2"/>
    <col width="50" customWidth="1" min="3" max="3"/>
  </cols>
  <sheetData>
    <row r="1">
      <c r="A1" s="3" t="inlineStr">
        <is>
          <t>source</t>
        </is>
      </c>
      <c r="B1" s="3" t="inlineStr">
        <is>
          <t>url</t>
        </is>
      </c>
      <c r="C1" s="3" t="inlineStr">
        <is>
          <t>note</t>
        </is>
      </c>
    </row>
    <row r="2">
      <c r="A2" t="inlineStr">
        <is>
          <t>Eurostat employment API</t>
        </is>
      </c>
      <c r="B2" t="inlineStr">
        <is>
          <t>https://ec.europa.eu/eurostat/api/dissemination/statistics/1.0/data/lfsa_egai2d?geo=EU27_2020&amp;sex=T&amp;unit=THS_PER&amp;time=2024&amp;lang=EN</t>
        </is>
      </c>
      <c r="C2" t="inlineStr">
        <is>
          <t>Exact employment source used in workbook</t>
        </is>
      </c>
    </row>
    <row r="3">
      <c r="A3" t="inlineStr">
        <is>
          <t>Eurostat earnings dataset</t>
        </is>
      </c>
      <c r="B3" t="inlineStr">
        <is>
          <t>https://ec.europa.eu/eurostat/databrowser/product/page/earn_ses22_49</t>
        </is>
      </c>
      <c r="C3" t="inlineStr">
        <is>
          <t>Needed to replace proxy earnings with direct occupation values</t>
        </is>
      </c>
    </row>
    <row r="4">
      <c r="A4" t="inlineStr">
        <is>
          <t>Eurostat annual salary headline</t>
        </is>
      </c>
      <c r="B4" t="inlineStr">
        <is>
          <t>https://ec.europa.eu/eurostat/web/products-eurostat-news/w/ddn-20241107-1</t>
        </is>
      </c>
      <c r="C4" t="inlineStr">
        <is>
          <t>2022 EU average annual full-time adjusted salary = €35,600</t>
        </is>
      </c>
    </row>
    <row r="5">
      <c r="A5" t="inlineStr">
        <is>
          <t>OpenAI paper</t>
        </is>
      </c>
      <c r="B5" t="inlineStr">
        <is>
          <t>https://arxiv.org/abs/2303.10130</t>
        </is>
      </c>
      <c r="C5" t="inlineStr">
        <is>
          <t>Exposure scoring inspiration</t>
        </is>
      </c>
    </row>
    <row r="6">
      <c r="A6" t="inlineStr">
        <is>
          <t>Eurostat annual full-time adjusted salary article (2023 release, includes 2022 values)</t>
        </is>
      </c>
      <c r="B6" t="inlineStr">
        <is>
          <t>https://ec.europa.eu/eurostat/web/products-eurostat-news/w/ddn-20241107-1</t>
        </is>
      </c>
      <c r="C6" t="inlineStr">
        <is>
          <t>Used for country salary benchmark sheet</t>
        </is>
      </c>
    </row>
    <row r="7">
      <c r="A7" t="inlineStr">
        <is>
          <t>Eurostat earnings metadata</t>
        </is>
      </c>
      <c r="B7" t="inlineStr">
        <is>
          <t>https://ec.europa.eu/eurostat/web/labour-market/information-data/earnings</t>
        </is>
      </c>
      <c r="C7" t="inlineStr">
        <is>
          <t>SES 2022 covers occupation but direct cube not fully extracted here</t>
        </is>
      </c>
    </row>
    <row r="8">
      <c r="A8" t="inlineStr">
        <is>
          <t>SES_2022_occupation_anchor</t>
        </is>
      </c>
      <c r="B8" t="inlineStr">
        <is>
          <t>https://www.ine.es/dyngs/Prensa/en/EES2022.pdf</t>
        </is>
      </c>
      <c r="C8" t="inlineStr">
        <is>
          <t>Spain 2022 Wage Structure Survey: annual average earnings per employee by occupation</t>
        </is>
      </c>
    </row>
    <row r="9">
      <c r="A9" t="inlineStr">
        <is>
          <t>EIGE_earn_ses_annual_metadata</t>
        </is>
      </c>
      <c r="B9" t="inlineStr">
        <is>
          <t>https://dgs-p.eige.europa.eu/data/information/ta_livcond_inc_earn_annual_gen__earn_ses_annual</t>
        </is>
      </c>
      <c r="C9" t="inlineStr">
        <is>
          <t>Occupation, indicator, sex, worktime and NACE code definitions for SES annual earnings dataset</t>
        </is>
      </c>
    </row>
    <row r="10">
      <c r="A10" t="inlineStr">
        <is>
          <t>Eurostat_2018_occupation_news</t>
        </is>
      </c>
      <c r="B10" t="inlineStr">
        <is>
          <t>https://ec.europa.eu/eurostat/web/products-eurostat-news/-/ddn-20210527-1</t>
        </is>
      </c>
      <c r="C10" t="inlineStr">
        <is>
          <t>Official Eurostat occupation earnings article used as EU-level directional cross-check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80" customWidth="1" min="3" max="3"/>
  </cols>
  <sheetData>
    <row r="1">
      <c r="A1" s="11" t="inlineStr">
        <is>
          <t>country</t>
        </is>
      </c>
      <c r="B1" s="11" t="inlineStr">
        <is>
          <t>avg_full_time_salary_2022_eur</t>
        </is>
      </c>
      <c r="C1" s="11" t="inlineStr">
        <is>
          <t>source_url</t>
        </is>
      </c>
    </row>
    <row r="2">
      <c r="A2" t="inlineStr">
        <is>
          <t>Luxembourg</t>
        </is>
      </c>
      <c r="B2" t="n">
        <v>75409</v>
      </c>
      <c r="C2" t="inlineStr">
        <is>
          <t>https://ec.europa.eu/eurostat/web/products-eurostat-news/w/ddn-20241107-1</t>
        </is>
      </c>
    </row>
    <row r="3">
      <c r="A3" t="inlineStr">
        <is>
          <t>Denmark</t>
        </is>
      </c>
      <c r="B3" t="n">
        <v>65168</v>
      </c>
      <c r="C3" t="inlineStr">
        <is>
          <t>https://ec.europa.eu/eurostat/web/products-eurostat-news/w/ddn-20241107-1</t>
        </is>
      </c>
    </row>
    <row r="4">
      <c r="A4" t="inlineStr">
        <is>
          <t>Ireland</t>
        </is>
      </c>
      <c r="B4" t="n">
        <v>54312</v>
      </c>
      <c r="C4" t="inlineStr">
        <is>
          <t>https://ec.europa.eu/eurostat/web/products-eurostat-news/w/ddn-20241107-1</t>
        </is>
      </c>
    </row>
    <row r="5">
      <c r="A5" t="inlineStr">
        <is>
          <t>Belgium</t>
        </is>
      </c>
      <c r="B5" t="n">
        <v>53418</v>
      </c>
      <c r="C5" t="inlineStr">
        <is>
          <t>https://ec.europa.eu/eurostat/web/products-eurostat-news/w/ddn-20241107-1</t>
        </is>
      </c>
    </row>
    <row r="6">
      <c r="A6" t="inlineStr">
        <is>
          <t>Austria</t>
        </is>
      </c>
      <c r="B6" t="n">
        <v>50741</v>
      </c>
      <c r="C6" t="inlineStr">
        <is>
          <t>https://ec.europa.eu/eurostat/web/products-eurostat-news/w/ddn-20241107-1</t>
        </is>
      </c>
    </row>
    <row r="7">
      <c r="A7" t="inlineStr">
        <is>
          <t>Germany</t>
        </is>
      </c>
      <c r="B7" t="n">
        <v>47731</v>
      </c>
      <c r="C7" t="inlineStr">
        <is>
          <t>https://ec.europa.eu/eurostat/web/products-eurostat-news/w/ddn-20241107-1</t>
        </is>
      </c>
    </row>
    <row r="8">
      <c r="A8" t="inlineStr">
        <is>
          <t>Finland</t>
        </is>
      </c>
      <c r="B8" t="n">
        <v>46621</v>
      </c>
      <c r="C8" t="inlineStr">
        <is>
          <t>https://ec.europa.eu/eurostat/web/products-eurostat-news/w/ddn-20241107-1</t>
        </is>
      </c>
    </row>
    <row r="9">
      <c r="A9" t="inlineStr">
        <is>
          <t>Sweden</t>
        </is>
      </c>
      <c r="B9" t="n">
        <v>46436</v>
      </c>
      <c r="C9" t="inlineStr">
        <is>
          <t>https://ec.europa.eu/eurostat/web/products-eurostat-news/w/ddn-20241107-1</t>
        </is>
      </c>
    </row>
    <row r="10">
      <c r="A10" t="inlineStr">
        <is>
          <t>France</t>
        </is>
      </c>
      <c r="B10" t="n">
        <v>40823</v>
      </c>
      <c r="C10" t="inlineStr">
        <is>
          <t>https://ec.europa.eu/eurostat/web/products-eurostat-news/w/ddn-20241107-1</t>
        </is>
      </c>
    </row>
    <row r="11">
      <c r="A11" t="inlineStr">
        <is>
          <t>Slovenia</t>
        </is>
      </c>
      <c r="B11" t="n">
        <v>30245</v>
      </c>
      <c r="C11" t="inlineStr">
        <is>
          <t>https://ec.europa.eu/eurostat/web/products-eurostat-news/w/ddn-20241107-1</t>
        </is>
      </c>
    </row>
    <row r="12">
      <c r="A12" t="inlineStr">
        <is>
          <t>Italy</t>
        </is>
      </c>
      <c r="B12" t="n">
        <v>31847</v>
      </c>
      <c r="C12" t="inlineStr">
        <is>
          <t>https://ec.europa.eu/eurostat/web/products-eurostat-news/w/ddn-20241107-1</t>
        </is>
      </c>
    </row>
    <row r="13">
      <c r="A13" t="inlineStr">
        <is>
          <t>Spain</t>
        </is>
      </c>
      <c r="B13" t="n">
        <v>30867</v>
      </c>
      <c r="C13" t="inlineStr">
        <is>
          <t>https://ec.europa.eu/eurostat/web/products-eurostat-news/w/ddn-20241107-1</t>
        </is>
      </c>
    </row>
    <row r="14">
      <c r="A14" t="inlineStr">
        <is>
          <t>Malta</t>
        </is>
      </c>
      <c r="B14" t="n">
        <v>29408</v>
      </c>
      <c r="C14" t="inlineStr">
        <is>
          <t>https://ec.europa.eu/eurostat/web/products-eurostat-news/w/ddn-20241107-1</t>
        </is>
      </c>
    </row>
    <row r="15">
      <c r="A15" t="inlineStr">
        <is>
          <t>Lithuania</t>
        </is>
      </c>
      <c r="B15" t="n">
        <v>24294</v>
      </c>
      <c r="C15" t="inlineStr">
        <is>
          <t>https://ec.europa.eu/eurostat/web/products-eurostat-news/w/ddn-20241107-1</t>
        </is>
      </c>
    </row>
    <row r="16">
      <c r="A16" t="inlineStr">
        <is>
          <t>Cyprus</t>
        </is>
      </c>
      <c r="B16" t="n">
        <v>25338</v>
      </c>
      <c r="C16" t="inlineStr">
        <is>
          <t>https://ec.europa.eu/eurostat/web/products-eurostat-news/w/ddn-20241107-1</t>
        </is>
      </c>
    </row>
    <row r="17">
      <c r="A17" t="inlineStr">
        <is>
          <t>Estonia</t>
        </is>
      </c>
      <c r="B17" t="n">
        <v>22944</v>
      </c>
      <c r="C17" t="inlineStr">
        <is>
          <t>https://ec.europa.eu/eurostat/web/products-eurostat-news/w/ddn-20241107-1</t>
        </is>
      </c>
    </row>
    <row r="18">
      <c r="A18" t="inlineStr">
        <is>
          <t>Czechia</t>
        </is>
      </c>
      <c r="B18" t="n">
        <v>21370</v>
      </c>
      <c r="C18" t="inlineStr">
        <is>
          <t>https://ec.europa.eu/eurostat/web/products-eurostat-news/w/ddn-20241107-1</t>
        </is>
      </c>
    </row>
    <row r="19">
      <c r="A19" t="inlineStr">
        <is>
          <t>Portugal</t>
        </is>
      </c>
      <c r="B19" t="n">
        <v>21131</v>
      </c>
      <c r="C19" t="inlineStr">
        <is>
          <t>https://ec.europa.eu/eurostat/web/products-eurostat-news/w/ddn-20241107-1</t>
        </is>
      </c>
    </row>
    <row r="20">
      <c r="A20" t="inlineStr">
        <is>
          <t>Latvia</t>
        </is>
      </c>
      <c r="B20" t="n">
        <v>19187</v>
      </c>
      <c r="C20" t="inlineStr">
        <is>
          <t>https://ec.europa.eu/eurostat/web/products-eurostat-news/w/ddn-20241107-1</t>
        </is>
      </c>
    </row>
    <row r="21">
      <c r="A21" t="inlineStr">
        <is>
          <t>Croatia</t>
        </is>
      </c>
      <c r="B21" t="n">
        <v>18546</v>
      </c>
      <c r="C21" t="inlineStr">
        <is>
          <t>https://ec.europa.eu/eurostat/web/products-eurostat-news/w/ddn-20241107-1</t>
        </is>
      </c>
    </row>
    <row r="22">
      <c r="A22" t="inlineStr">
        <is>
          <t>Slovakia</t>
        </is>
      </c>
      <c r="B22" t="n">
        <v>17286</v>
      </c>
      <c r="C22" t="inlineStr">
        <is>
          <t>https://ec.europa.eu/eurostat/web/products-eurostat-news/w/ddn-20241107-1</t>
        </is>
      </c>
    </row>
    <row r="23">
      <c r="A23" t="inlineStr">
        <is>
          <t>Poland</t>
        </is>
      </c>
      <c r="B23" t="n">
        <v>15488</v>
      </c>
      <c r="C23" t="inlineStr">
        <is>
          <t>https://ec.europa.eu/eurostat/web/products-eurostat-news/w/ddn-20241107-1</t>
        </is>
      </c>
    </row>
    <row r="24">
      <c r="A24" t="inlineStr">
        <is>
          <t>Romania</t>
        </is>
      </c>
      <c r="B24" t="n">
        <v>15064</v>
      </c>
      <c r="C24" t="inlineStr">
        <is>
          <t>https://ec.europa.eu/eurostat/web/products-eurostat-news/w/ddn-20241107-1</t>
        </is>
      </c>
    </row>
    <row r="25">
      <c r="A25" t="inlineStr">
        <is>
          <t>Greece</t>
        </is>
      </c>
      <c r="B25" t="n">
        <v>16407</v>
      </c>
      <c r="C25" t="inlineStr">
        <is>
          <t>https://ec.europa.eu/eurostat/web/products-eurostat-news/w/ddn-20241107-1</t>
        </is>
      </c>
    </row>
    <row r="26">
      <c r="A26" t="inlineStr">
        <is>
          <t>Hungary</t>
        </is>
      </c>
      <c r="B26" t="n">
        <v>14384</v>
      </c>
      <c r="C26" t="inlineStr">
        <is>
          <t>https://ec.europa.eu/eurostat/web/products-eurostat-news/w/ddn-20241107-1</t>
        </is>
      </c>
    </row>
    <row r="27">
      <c r="A27" t="inlineStr">
        <is>
          <t>Bulgaria</t>
        </is>
      </c>
      <c r="B27" t="n">
        <v>11880</v>
      </c>
      <c r="C27" t="inlineStr">
        <is>
          <t>https://ec.europa.eu/eurostat/web/products-eurostat-news/w/ddn-20241107-1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70" customWidth="1" min="3" max="3"/>
  </cols>
  <sheetData>
    <row r="1">
      <c r="A1" s="11" t="inlineStr">
        <is>
          <t>Control</t>
        </is>
      </c>
      <c r="B1" s="11" t="inlineStr">
        <is>
          <t>Value</t>
        </is>
      </c>
      <c r="C1" s="11" t="inlineStr">
        <is>
          <t>Notes</t>
        </is>
      </c>
    </row>
    <row r="2">
      <c r="A2" t="inlineStr">
        <is>
          <t>EU_avg_salary_2022</t>
        </is>
      </c>
      <c r="B2" t="n">
        <v>35638</v>
      </c>
      <c r="C2" t="inlineStr">
        <is>
          <t>Eurostat EU average annual full-time adjusted salary in 2022</t>
        </is>
      </c>
    </row>
    <row r="3">
      <c r="A3" t="inlineStr">
        <is>
          <t>Country_P25_salary_2022</t>
        </is>
      </c>
      <c r="B3" t="n">
        <v>18706.25</v>
      </c>
      <c r="C3" t="inlineStr">
        <is>
          <t>25th percentile across 26 reported EU countries</t>
        </is>
      </c>
    </row>
    <row r="4">
      <c r="A4" t="inlineStr">
        <is>
          <t>Country_Median_salary_2022</t>
        </is>
      </c>
      <c r="B4" t="n">
        <v>27373</v>
      </c>
      <c r="C4" t="inlineStr">
        <is>
          <t>Median across 26 reported EU countries</t>
        </is>
      </c>
    </row>
    <row r="5">
      <c r="A5" t="inlineStr">
        <is>
          <t>Country_P75_salary_2022</t>
        </is>
      </c>
      <c r="B5" t="n">
        <v>46574.75</v>
      </c>
      <c r="C5" t="inlineStr">
        <is>
          <t>75th percentile across 26 reported EU countries</t>
        </is>
      </c>
    </row>
    <row r="6">
      <c r="A6" t="inlineStr">
        <is>
          <t>Country_Min_salary_2022</t>
        </is>
      </c>
      <c r="B6">
        <f>MIN(Country_Salary_2022!B2:B27)</f>
        <v/>
      </c>
      <c r="C6" t="inlineStr">
        <is>
          <t>Minimum across 26 reported EU countries</t>
        </is>
      </c>
    </row>
    <row r="7">
      <c r="A7" t="inlineStr">
        <is>
          <t>Country_Max_salary_2022</t>
        </is>
      </c>
      <c r="B7">
        <f>MAX(Country_Salary_2022!B2:B27)</f>
        <v/>
      </c>
      <c r="C7" t="inlineStr">
        <is>
          <t>Country benchmarks use Eurostat national salary article; occupation-layer now SES major-group anchored</t>
        </is>
      </c>
    </row>
    <row r="8">
      <c r="A8" t="inlineStr">
        <is>
          <t>Coverage_note</t>
        </is>
      </c>
      <c r="C8" t="inlineStr">
        <is>
          <t>Country benchmarks use Eurostat national salary article; occupation-layer still modeled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2026-03-15T07:44:08Z</dcterms:created>
  <dcterms:modified xmlns:dcterms="http://purl.org/dc/terms/" xmlns:xsi="http://www.w3.org/2001/XMLSchema-instance" xsi:type="dcterms:W3CDTF">2026-03-15T08:08:49Z</dcterms:modified>
</cp:coreProperties>
</file>